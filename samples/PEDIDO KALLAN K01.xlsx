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Shop Stock\MM Americanense\Kallan\PEDIDO\2026\"/>
    </mc:Choice>
  </mc:AlternateContent>
  <xr:revisionPtr revIDLastSave="0" documentId="13_ncr:1_{E0280BDF-5FC6-4A25-83CA-4E6A97AF42F8}" xr6:coauthVersionLast="47" xr6:coauthVersionMax="47" xr10:uidLastSave="{00000000-0000-0000-0000-000000000000}"/>
  <bookViews>
    <workbookView xWindow="-108" yWindow="-108" windowWidth="23256" windowHeight="12456" xr2:uid="{3BF02AC4-F034-0F49-AD5E-8E24531DA5BD}"/>
  </bookViews>
  <sheets>
    <sheet name="Planilha1" sheetId="1" r:id="rId1"/>
  </sheets>
  <definedNames>
    <definedName name="_xlnm._FilterDatabase" localSheetId="0" hidden="1">Planilha1!$B$10:$N$10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  <c r="Q19" i="1"/>
  <c r="Q18" i="1"/>
  <c r="Q17" i="1"/>
  <c r="Q16" i="1"/>
  <c r="Q15" i="1"/>
  <c r="Q14" i="1"/>
  <c r="Q13" i="1"/>
  <c r="Q12" i="1"/>
  <c r="P23" i="1"/>
  <c r="Q23" i="1" l="1"/>
  <c r="N12" i="1"/>
  <c r="N17" i="1"/>
  <c r="N20" i="1"/>
  <c r="N19" i="1"/>
  <c r="N18" i="1"/>
  <c r="N16" i="1"/>
  <c r="N15" i="1"/>
  <c r="N13" i="1" l="1"/>
  <c r="N14" i="1"/>
</calcChain>
</file>

<file path=xl/sharedStrings.xml><?xml version="1.0" encoding="utf-8"?>
<sst xmlns="http://schemas.openxmlformats.org/spreadsheetml/2006/main" count="110" uniqueCount="69">
  <si>
    <t>Produto</t>
  </si>
  <si>
    <t>Apresentação</t>
  </si>
  <si>
    <t>Tipo</t>
  </si>
  <si>
    <t>Composição</t>
  </si>
  <si>
    <t>Meia Sapatilha</t>
  </si>
  <si>
    <t>Kit 3</t>
  </si>
  <si>
    <t>Meia toalha</t>
  </si>
  <si>
    <t>Meia Cano Curto</t>
  </si>
  <si>
    <t>Meia Cano Medio</t>
  </si>
  <si>
    <t>Contra Proopsta</t>
  </si>
  <si>
    <t>PDV</t>
  </si>
  <si>
    <t>Mkup</t>
  </si>
  <si>
    <t>82% Algodão / 9% Poliester / 8% Poliamida 1% Elastano</t>
  </si>
  <si>
    <t>72% Algodão / 15% Poliester / 10% Poliamida / 3% Elastano</t>
  </si>
  <si>
    <t>Imagem</t>
  </si>
  <si>
    <t>Sem Toalha</t>
  </si>
  <si>
    <t>Numeração</t>
  </si>
  <si>
    <t>Cor</t>
  </si>
  <si>
    <t>Masc 39_44</t>
  </si>
  <si>
    <t>MAROM/PRETO/MESCLA</t>
  </si>
  <si>
    <t>BRANCO/PRETO/MESCLA</t>
  </si>
  <si>
    <t>PRETO/MESCLA/BRANCO</t>
  </si>
  <si>
    <t>MESCLA/PRETO/BRANCO</t>
  </si>
  <si>
    <t>ROSA/MESCLA/PRETA</t>
  </si>
  <si>
    <t>BRANCA/MESCLA/PRETA</t>
  </si>
  <si>
    <t>Fem 33_39</t>
  </si>
  <si>
    <t>CUSTO TTL</t>
  </si>
  <si>
    <t>NCM</t>
  </si>
  <si>
    <t>ORDEM DE COMPRA :</t>
  </si>
  <si>
    <t xml:space="preserve">RAZÃO SOCIAL:  </t>
  </si>
  <si>
    <t>FANTASIA:</t>
  </si>
  <si>
    <t xml:space="preserve">CONTATO: </t>
  </si>
  <si>
    <t xml:space="preserve">CNPJ: </t>
  </si>
  <si>
    <t xml:space="preserve">INSC. ESTADUAL:  </t>
  </si>
  <si>
    <t>TELEFONE:</t>
  </si>
  <si>
    <t xml:space="preserve">ENDEREÇO:  </t>
  </si>
  <si>
    <t>E-MAIL COMPRAS:</t>
  </si>
  <si>
    <t xml:space="preserve">CIDADE:  </t>
  </si>
  <si>
    <t xml:space="preserve">UF: </t>
  </si>
  <si>
    <t>CEP:</t>
  </si>
  <si>
    <t xml:space="preserve">E-MAIL PARA NFE: </t>
  </si>
  <si>
    <t>CONTATO FINANCEIRO:</t>
  </si>
  <si>
    <t xml:space="preserve">DATA DE FATURAMENTO: </t>
  </si>
  <si>
    <t xml:space="preserve">COND. DE PGTO. : </t>
  </si>
  <si>
    <t>DATA DO PEDIDO:</t>
  </si>
  <si>
    <t>REPRESENTANTE: MULTIBUSINESS</t>
  </si>
  <si>
    <t>KALLAN CALCADOS LTDA.</t>
  </si>
  <si>
    <t>120 D</t>
  </si>
  <si>
    <t>FISCAL@KALLAN.COM.BR</t>
  </si>
  <si>
    <t>SP</t>
  </si>
  <si>
    <t>(11) 3352-0600</t>
  </si>
  <si>
    <t>CENTRO</t>
  </si>
  <si>
    <t xml:space="preserve">BAIRRO: </t>
  </si>
  <si>
    <t>BRUNO</t>
  </si>
  <si>
    <t>K01</t>
  </si>
  <si>
    <t>referencia</t>
  </si>
  <si>
    <t>K3SBCCYL10F</t>
  </si>
  <si>
    <t>K3ABCCYL11F</t>
  </si>
  <si>
    <t>K3BBCCYL11F</t>
  </si>
  <si>
    <t>K3SBCCYL12G</t>
  </si>
  <si>
    <t>K3SBCCYL11G</t>
  </si>
  <si>
    <t>K3ABCCYL11G</t>
  </si>
  <si>
    <t>K3BBCCYL12G</t>
  </si>
  <si>
    <t>K3SBCAYL11G</t>
  </si>
  <si>
    <t>K3SBCAYL10F</t>
  </si>
  <si>
    <t>Rua João Pessoa, 40</t>
  </si>
  <si>
    <t>11013-000</t>
  </si>
  <si>
    <t>SANTOS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</si>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</sst>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0"/>
      <name val="Arial"/>
      <family val="2"/>
    </font>
    <font>
      <u/>
      <sz val="12"/>
      <color theme="10"/>
      <name val="Calibri"/>
      <family val="2"/>
      <scheme val="minor"/>
    </font>
    <font>
      <b/>
      <sz val="48"/>
      <color indexed="8"/>
      <name val="Calibri"/>
      <family val="2"/>
    </font>
    <font>
      <b/>
      <sz val="12"/>
      <color indexed="8"/>
      <name val="Calibri"/>
      <family val="2"/>
    </font>
    <font>
      <b/>
      <u/>
      <sz val="12"/>
      <color indexed="8"/>
      <name val="Calibri"/>
      <family val="2"/>
    </font>
    <font>
      <b/>
      <sz val="10"/>
      <color rgb="FF0070C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theme="4" tint="0.39997558519241921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3" fontId="0" fillId="0" borderId="0" xfId="0" applyNumberFormat="1"/>
    <xf numFmtId="0" fontId="2" fillId="0" borderId="0" xfId="0" applyFont="1"/>
    <xf numFmtId="164" fontId="6" fillId="0" borderId="0" xfId="1" applyNumberFormat="1" applyFont="1"/>
    <xf numFmtId="3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8" fillId="0" borderId="15" xfId="2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4" fontId="5" fillId="3" borderId="1" xfId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4" fontId="4" fillId="3" borderId="1" xfId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3" fontId="0" fillId="3" borderId="0" xfId="0" applyNumberFormat="1" applyFill="1"/>
    <xf numFmtId="0" fontId="0" fillId="3" borderId="13" xfId="0" applyFill="1" applyBorder="1"/>
    <xf numFmtId="164" fontId="0" fillId="3" borderId="13" xfId="0" applyNumberFormat="1" applyFill="1" applyBorder="1"/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4" fontId="12" fillId="0" borderId="14" xfId="0" applyNumberFormat="1" applyFont="1" applyBorder="1" applyAlignment="1">
      <alignment horizontal="center" vertical="center" wrapText="1"/>
    </xf>
    <xf numFmtId="14" fontId="12" fillId="0" borderId="15" xfId="0" applyNumberFormat="1" applyFont="1" applyBorder="1" applyAlignment="1">
      <alignment horizontal="center" vertical="center" wrapText="1"/>
    </xf>
    <xf numFmtId="14" fontId="12" fillId="0" borderId="17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1" fontId="12" fillId="0" borderId="13" xfId="0" applyNumberFormat="1" applyFont="1" applyBorder="1" applyAlignment="1">
      <alignment horizontal="center" vertical="center" wrapText="1"/>
    </xf>
    <xf numFmtId="3" fontId="12" fillId="0" borderId="13" xfId="0" applyNumberFormat="1" applyFont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8" fillId="0" borderId="14" xfId="2" applyBorder="1" applyAlignment="1">
      <alignment horizontal="center" vertical="center" wrapText="1"/>
    </xf>
    <xf numFmtId="0" fontId="8" fillId="0" borderId="15" xfId="2" applyBorder="1" applyAlignment="1">
      <alignment horizontal="center" vertical="center" wrapText="1"/>
    </xf>
    <xf numFmtId="0" fontId="8" fillId="0" borderId="17" xfId="2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</cellXfs>
  <cellStyles count="3">
    <cellStyle name="Hiperlink" xfId="2" builtinId="8"/>
    <cellStyle name="Moeda" xfId="1" builtinId="4"/>
    <cellStyle name="Normal" xfId="0" builtinId="0"/>
  </cellStyles>
  <dxfs count="40"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7" tint="0.79998168889431442"/>
          <bgColor theme="7" tint="0.79998168889431442"/>
        </patternFill>
      </fill>
    </dxf>
    <dxf>
      <fill>
        <patternFill>
          <fgColor theme="9" tint="0.79998168889431442"/>
          <bgColor theme="9" tint="0.79998168889431442"/>
        </patternFill>
      </fill>
    </dxf>
    <dxf>
      <fill>
        <patternFill>
          <fgColor theme="9" tint="0.59996337778862885"/>
          <bgColor theme="9" tint="0.59996337778862885"/>
        </patternFill>
      </fill>
    </dxf>
    <dxf>
      <fill>
        <patternFill>
          <fgColor theme="4" tint="0.59996337778862885"/>
          <bgColor theme="4" tint="0.59996337778862885"/>
        </patternFill>
      </fill>
    </dxf>
    <dxf>
      <fill>
        <patternFill>
          <fgColor theme="9" tint="0.79998168889431442"/>
          <bgColor theme="9" tint="0.79998168889431442"/>
        </patternFill>
      </fill>
    </dxf>
    <dxf>
      <fill>
        <patternFill>
          <fgColor theme="7" tint="0.79998168889431442"/>
          <bgColor theme="7" tint="0.79998168889431442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4" tint="0.59996337778862885"/>
          <bgColor theme="4" tint="0.59996337778862885"/>
        </patternFill>
      </fill>
    </dxf>
    <dxf>
      <fill>
        <patternFill>
          <fgColor theme="9" tint="0.59996337778862885"/>
          <bgColor theme="9" tint="0.59996337778862885"/>
        </patternFill>
      </fill>
    </dxf>
    <dxf>
      <fill>
        <patternFill>
          <fgColor theme="9" tint="0.59996337778862885"/>
          <bgColor theme="9" tint="0.59996337778862885"/>
        </patternFill>
      </fill>
    </dxf>
    <dxf>
      <fill>
        <patternFill>
          <fgColor theme="4" tint="0.59996337778862885"/>
          <bgColor theme="4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7" tint="0.79998168889431442"/>
          <bgColor theme="7" tint="0.79998168889431442"/>
        </patternFill>
      </fill>
    </dxf>
    <dxf>
      <fill>
        <patternFill>
          <fgColor theme="9" tint="0.79998168889431442"/>
          <bgColor theme="9" tint="0.79998168889431442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4" tint="0.59996337778862885"/>
          <bgColor theme="4" tint="0.59996337778862885"/>
        </patternFill>
      </fill>
    </dxf>
    <dxf>
      <fill>
        <patternFill>
          <fgColor theme="9" tint="0.59996337778862885"/>
          <bgColor theme="9" tint="0.59996337778862885"/>
        </patternFill>
      </fill>
    </dxf>
    <dxf>
      <fill>
        <patternFill>
          <fgColor theme="9" tint="0.79998168889431442"/>
          <bgColor theme="9" tint="0.79998168889431442"/>
        </patternFill>
      </fill>
    </dxf>
    <dxf>
      <fill>
        <patternFill>
          <fgColor theme="7" tint="0.79998168889431442"/>
          <bgColor theme="7" tint="0.79998168889431442"/>
        </patternFill>
      </fill>
    </dxf>
    <dxf>
      <fill>
        <patternFill>
          <fgColor theme="9" tint="0.59996337778862885"/>
          <bgColor theme="9" tint="0.59996337778862885"/>
        </patternFill>
      </fill>
    </dxf>
    <dxf>
      <fill>
        <patternFill>
          <fgColor theme="4" tint="0.59996337778862885"/>
          <bgColor theme="4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7" tint="0.79998168889431442"/>
          <bgColor theme="7" tint="0.79998168889431442"/>
        </patternFill>
      </fill>
    </dxf>
    <dxf>
      <fill>
        <patternFill>
          <fgColor theme="9" tint="0.79998168889431442"/>
          <bgColor theme="9" tint="0.79998168889431442"/>
        </patternFill>
      </fill>
    </dxf>
    <dxf>
      <fill>
        <patternFill>
          <fgColor theme="9" tint="0.59996337778862885"/>
          <bgColor theme="9" tint="0.59996337778862885"/>
        </patternFill>
      </fill>
    </dxf>
    <dxf>
      <fill>
        <patternFill>
          <fgColor theme="4" tint="0.59996337778862885"/>
          <bgColor theme="4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7" tint="0.79998168889431442"/>
          <bgColor theme="7" tint="0.79998168889431442"/>
        </patternFill>
      </fill>
    </dxf>
    <dxf>
      <fill>
        <patternFill>
          <fgColor theme="9" tint="0.79998168889431442"/>
          <bgColor theme="9" tint="0.79998168889431442"/>
        </patternFill>
      </fill>
    </dxf>
    <dxf>
      <fill>
        <patternFill>
          <fgColor theme="9" tint="0.79998168889431442"/>
          <bgColor theme="9" tint="0.79998168889431442"/>
        </patternFill>
      </fill>
    </dxf>
    <dxf>
      <fill>
        <patternFill>
          <fgColor theme="7" tint="0.79998168889431442"/>
          <bgColor theme="7" tint="0.79998168889431442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4" tint="0.59996337778862885"/>
          <bgColor theme="4" tint="0.59996337778862885"/>
        </patternFill>
      </fill>
    </dxf>
    <dxf>
      <fill>
        <patternFill>
          <fgColor theme="9" tint="0.59996337778862885"/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79998168889431442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79998168889431442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464911</xdr:colOff>
      <xdr:row>12</xdr:row>
      <xdr:rowOff>85271</xdr:rowOff>
    </xdr:from>
    <xdr:to>
      <xdr:col>1</xdr:col>
      <xdr:colOff>1099457</xdr:colOff>
      <xdr:row>12</xdr:row>
      <xdr:rowOff>566058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A3F524C-EA7D-094A-99A5-159C982582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6168" y="4221842"/>
          <a:ext cx="634546" cy="48078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</xdr:col>
      <xdr:colOff>333375</xdr:colOff>
      <xdr:row>13</xdr:row>
      <xdr:rowOff>111124</xdr:rowOff>
    </xdr:from>
    <xdr:ext cx="841375" cy="571501"/>
    <xdr:pic>
      <xdr:nvPicPr>
        <xdr:cNvPr id="4" name="Imagem 3">
          <a:extLst>
            <a:ext uri="{FF2B5EF4-FFF2-40B4-BE49-F238E27FC236}">
              <a16:creationId xmlns:a16="http://schemas.microsoft.com/office/drawing/2014/main" id="{8181A5A6-1C9B-3C45-A0ED-562BDA10A4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7375" y="2460624"/>
          <a:ext cx="841375" cy="5715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</xdr:col>
      <xdr:colOff>185964</xdr:colOff>
      <xdr:row>14</xdr:row>
      <xdr:rowOff>151947</xdr:rowOff>
    </xdr:from>
    <xdr:ext cx="1159412" cy="508000"/>
    <xdr:pic>
      <xdr:nvPicPr>
        <xdr:cNvPr id="6" name="Imagem 5">
          <a:extLst>
            <a:ext uri="{FF2B5EF4-FFF2-40B4-BE49-F238E27FC236}">
              <a16:creationId xmlns:a16="http://schemas.microsoft.com/office/drawing/2014/main" id="{4DD33FD0-EDA3-CB4E-9EAE-1ACFE5AC63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988" t="6359" r="1597"/>
        <a:stretch/>
      </xdr:blipFill>
      <xdr:spPr>
        <a:xfrm flipH="1">
          <a:off x="444500" y="4016376"/>
          <a:ext cx="1159412" cy="50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</xdr:col>
      <xdr:colOff>256721</xdr:colOff>
      <xdr:row>15</xdr:row>
      <xdr:rowOff>91622</xdr:rowOff>
    </xdr:from>
    <xdr:ext cx="1159412" cy="403678"/>
    <xdr:pic>
      <xdr:nvPicPr>
        <xdr:cNvPr id="9" name="Imagem 8">
          <a:extLst>
            <a:ext uri="{FF2B5EF4-FFF2-40B4-BE49-F238E27FC236}">
              <a16:creationId xmlns:a16="http://schemas.microsoft.com/office/drawing/2014/main" id="{B62AABF1-7BBF-4E92-9F62-FD81FB70FE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988" t="6359" r="1597"/>
        <a:stretch/>
      </xdr:blipFill>
      <xdr:spPr>
        <a:xfrm flipH="1">
          <a:off x="517978" y="6514193"/>
          <a:ext cx="1159412" cy="403678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</xdr:col>
      <xdr:colOff>301625</xdr:colOff>
      <xdr:row>17</xdr:row>
      <xdr:rowOff>63500</xdr:rowOff>
    </xdr:from>
    <xdr:ext cx="857250" cy="619125"/>
    <xdr:pic>
      <xdr:nvPicPr>
        <xdr:cNvPr id="12" name="Imagem 11">
          <a:extLst>
            <a:ext uri="{FF2B5EF4-FFF2-40B4-BE49-F238E27FC236}">
              <a16:creationId xmlns:a16="http://schemas.microsoft.com/office/drawing/2014/main" id="{F2DE11E3-D288-469C-BD17-ABB27EA9E4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0161" y="1641929"/>
          <a:ext cx="857250" cy="619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</xdr:col>
      <xdr:colOff>333375</xdr:colOff>
      <xdr:row>18</xdr:row>
      <xdr:rowOff>111124</xdr:rowOff>
    </xdr:from>
    <xdr:ext cx="841375" cy="571501"/>
    <xdr:pic>
      <xdr:nvPicPr>
        <xdr:cNvPr id="13" name="Imagem 12">
          <a:extLst>
            <a:ext uri="{FF2B5EF4-FFF2-40B4-BE49-F238E27FC236}">
              <a16:creationId xmlns:a16="http://schemas.microsoft.com/office/drawing/2014/main" id="{AEF0BC52-E530-474D-B908-871B064CC5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1911" y="2451553"/>
          <a:ext cx="841375" cy="5715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</xdr:col>
      <xdr:colOff>158750</xdr:colOff>
      <xdr:row>19</xdr:row>
      <xdr:rowOff>111125</xdr:rowOff>
    </xdr:from>
    <xdr:ext cx="1159412" cy="508000"/>
    <xdr:pic>
      <xdr:nvPicPr>
        <xdr:cNvPr id="15" name="Imagem 14">
          <a:extLst>
            <a:ext uri="{FF2B5EF4-FFF2-40B4-BE49-F238E27FC236}">
              <a16:creationId xmlns:a16="http://schemas.microsoft.com/office/drawing/2014/main" id="{0E4BB11B-E41D-4D7D-B519-7992F29316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988" t="6359" r="1597"/>
        <a:stretch/>
      </xdr:blipFill>
      <xdr:spPr>
        <a:xfrm flipH="1">
          <a:off x="417286" y="10275661"/>
          <a:ext cx="1159412" cy="50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</xdr:col>
      <xdr:colOff>158750</xdr:colOff>
      <xdr:row>16</xdr:row>
      <xdr:rowOff>127000</xdr:rowOff>
    </xdr:from>
    <xdr:ext cx="1159412" cy="508000"/>
    <xdr:pic>
      <xdr:nvPicPr>
        <xdr:cNvPr id="16" name="Imagem 15">
          <a:extLst>
            <a:ext uri="{FF2B5EF4-FFF2-40B4-BE49-F238E27FC236}">
              <a16:creationId xmlns:a16="http://schemas.microsoft.com/office/drawing/2014/main" id="{52E7531F-43D1-4F5A-A0EE-8E3630BBA4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988" t="6359" r="1597"/>
        <a:stretch/>
      </xdr:blipFill>
      <xdr:spPr>
        <a:xfrm flipH="1">
          <a:off x="417286" y="6481536"/>
          <a:ext cx="1159412" cy="50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</xdr:col>
      <xdr:colOff>158750</xdr:colOff>
      <xdr:row>11</xdr:row>
      <xdr:rowOff>127000</xdr:rowOff>
    </xdr:from>
    <xdr:ext cx="1159412" cy="508000"/>
    <xdr:pic>
      <xdr:nvPicPr>
        <xdr:cNvPr id="17" name="Imagem 16">
          <a:extLst>
            <a:ext uri="{FF2B5EF4-FFF2-40B4-BE49-F238E27FC236}">
              <a16:creationId xmlns:a16="http://schemas.microsoft.com/office/drawing/2014/main" id="{AD7BD7B4-B12B-4832-9E5D-B130AA782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988" t="6359" r="1597"/>
        <a:stretch/>
      </xdr:blipFill>
      <xdr:spPr>
        <a:xfrm flipH="1">
          <a:off x="417286" y="1147536"/>
          <a:ext cx="1159412" cy="50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 editAs="oneCell">
    <xdr:from>
      <xdr:col>1</xdr:col>
      <xdr:colOff>658887</xdr:colOff>
      <xdr:row>1</xdr:row>
      <xdr:rowOff>85877</xdr:rowOff>
    </xdr:from>
    <xdr:to>
      <xdr:col>1</xdr:col>
      <xdr:colOff>1526722</xdr:colOff>
      <xdr:row>1</xdr:row>
      <xdr:rowOff>755390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C960E4B-278E-4FD0-8FC1-7F249B8A5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0144" y="292706"/>
          <a:ext cx="867835" cy="669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ISCAL@KALLAN.COM.BR" TargetMode="External"/><Relationship Id="rId1" Type="http://schemas.openxmlformats.org/officeDocument/2006/relationships/hyperlink" Target="mailto:FISCAL@KALLAN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B902-9D57-1947-8C65-E41F9C863A25}">
  <sheetPr>
    <pageSetUpPr fitToPage="1"/>
  </sheetPr>
  <dimension ref="B1:Y24"/>
  <sheetViews>
    <sheetView showGridLines="0" tabSelected="1" zoomScale="70" zoomScaleNormal="70" workbookViewId="0">
      <selection activeCell="V14" sqref="V14"/>
    </sheetView>
  </sheetViews>
  <sheetFormatPr defaultColWidth="11" defaultRowHeight="15.6" x14ac:dyDescent="0.3"/>
  <cols>
    <col min="1" max="1" width="3.3984375" customWidth="1"/>
    <col min="2" max="2" width="27.09765625" bestFit="1" customWidth="1"/>
    <col min="3" max="3" width="22.09765625" style="6" bestFit="1" customWidth="1"/>
    <col min="4" max="4" width="12.59765625" bestFit="1" customWidth="1"/>
    <col min="5" max="5" width="11.5" bestFit="1" customWidth="1"/>
    <col min="6" max="6" width="11.5" customWidth="1"/>
    <col min="7" max="7" width="26.5" style="7" customWidth="1"/>
    <col min="8" max="8" width="12.69921875" customWidth="1"/>
    <col min="9" max="9" width="5.19921875" customWidth="1"/>
    <col min="10" max="10" width="53.3984375" customWidth="1"/>
    <col min="11" max="11" width="15" customWidth="1"/>
    <col min="12" max="12" width="1.59765625" customWidth="1"/>
    <col min="13" max="14" width="11" customWidth="1"/>
    <col min="15" max="15" width="1.69921875" customWidth="1"/>
    <col min="16" max="16" width="4.69921875" customWidth="1"/>
    <col min="17" max="17" width="9.8984375" bestFit="1" customWidth="1"/>
    <col min="18" max="18" width="20" bestFit="1" customWidth="1"/>
    <col min="19" max="19" width="1.69921875" customWidth="1"/>
    <col min="20" max="20" width="9.59765625" customWidth="1"/>
    <col min="21" max="21" width="23.59765625" customWidth="1"/>
    <col min="22" max="22" width="7.8984375" style="10" bestFit="1" customWidth="1"/>
    <col min="23" max="23" width="10.59765625" bestFit="1" customWidth="1"/>
    <col min="24" max="24" width="1" customWidth="1"/>
    <col min="25" max="25" width="9.59765625" style="10" bestFit="1" customWidth="1"/>
  </cols>
  <sheetData>
    <row r="1" spans="2:25" s="14" customFormat="1" ht="16.2" thickBot="1" x14ac:dyDescent="0.35">
      <c r="C1" s="6"/>
      <c r="G1" s="15"/>
      <c r="V1" s="16"/>
      <c r="Y1" s="16"/>
    </row>
    <row r="2" spans="2:25" s="6" customFormat="1" ht="68.25" customHeight="1" thickBot="1" x14ac:dyDescent="0.35">
      <c r="B2" s="56"/>
      <c r="C2" s="57"/>
      <c r="D2" s="57"/>
      <c r="E2" s="58"/>
      <c r="F2" s="59"/>
      <c r="G2" s="60" t="s">
        <v>45</v>
      </c>
      <c r="H2" s="61"/>
      <c r="I2" s="61"/>
      <c r="J2" s="61"/>
      <c r="K2" s="61"/>
      <c r="L2" s="61"/>
      <c r="M2" s="61"/>
      <c r="N2" s="61"/>
      <c r="O2" s="60" t="s">
        <v>28</v>
      </c>
      <c r="P2" s="61"/>
      <c r="Q2" s="61"/>
      <c r="R2" s="61"/>
      <c r="S2" s="61"/>
      <c r="T2" s="61"/>
      <c r="U2" s="62"/>
    </row>
    <row r="3" spans="2:25" s="6" customFormat="1" ht="26.25" customHeight="1" thickBot="1" x14ac:dyDescent="0.35">
      <c r="B3" s="17" t="s">
        <v>29</v>
      </c>
      <c r="C3" s="63" t="s">
        <v>46</v>
      </c>
      <c r="D3" s="64"/>
      <c r="E3" s="64"/>
      <c r="F3" s="64"/>
      <c r="G3" s="64"/>
      <c r="H3" s="65"/>
      <c r="I3" s="63" t="s">
        <v>30</v>
      </c>
      <c r="J3" s="65"/>
      <c r="K3" s="66" t="s">
        <v>46</v>
      </c>
      <c r="L3" s="66"/>
      <c r="M3" s="66"/>
      <c r="N3" s="66"/>
      <c r="O3" s="66"/>
      <c r="P3" s="66"/>
      <c r="Q3" s="66"/>
      <c r="R3" s="18" t="s">
        <v>31</v>
      </c>
      <c r="S3" s="51" t="s">
        <v>53</v>
      </c>
      <c r="T3" s="51"/>
      <c r="U3" s="52"/>
    </row>
    <row r="4" spans="2:25" s="6" customFormat="1" ht="23.25" customHeight="1" x14ac:dyDescent="0.3">
      <c r="B4" s="19" t="s">
        <v>32</v>
      </c>
      <c r="C4" s="49">
        <v>51540219004535</v>
      </c>
      <c r="D4" s="49"/>
      <c r="E4" s="49"/>
      <c r="F4" s="40" t="s">
        <v>33</v>
      </c>
      <c r="G4" s="41"/>
      <c r="H4" s="41"/>
      <c r="I4" s="50">
        <v>633788163114</v>
      </c>
      <c r="J4" s="42"/>
      <c r="K4" s="42"/>
      <c r="L4" s="42"/>
      <c r="M4" s="42"/>
      <c r="N4" s="42"/>
      <c r="O4" s="42"/>
      <c r="P4" s="42"/>
      <c r="Q4" s="42"/>
      <c r="R4" s="20" t="s">
        <v>34</v>
      </c>
      <c r="S4" s="51" t="s">
        <v>50</v>
      </c>
      <c r="T4" s="51"/>
      <c r="U4" s="52"/>
    </row>
    <row r="5" spans="2:25" s="6" customFormat="1" ht="23.25" customHeight="1" x14ac:dyDescent="0.3">
      <c r="B5" s="19" t="s">
        <v>35</v>
      </c>
      <c r="C5" s="40" t="s">
        <v>65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6"/>
      <c r="R5" s="20" t="s">
        <v>36</v>
      </c>
      <c r="S5" s="53" t="s">
        <v>48</v>
      </c>
      <c r="T5" s="54"/>
      <c r="U5" s="55"/>
    </row>
    <row r="6" spans="2:25" s="6" customFormat="1" ht="21.75" customHeight="1" x14ac:dyDescent="0.3">
      <c r="B6" s="19" t="s">
        <v>37</v>
      </c>
      <c r="C6" s="40" t="s">
        <v>67</v>
      </c>
      <c r="D6" s="41"/>
      <c r="E6" s="41"/>
      <c r="F6" s="20" t="s">
        <v>38</v>
      </c>
      <c r="G6" s="42" t="s">
        <v>49</v>
      </c>
      <c r="H6" s="42"/>
      <c r="I6" s="40" t="s">
        <v>52</v>
      </c>
      <c r="J6" s="41"/>
      <c r="K6" s="40" t="s">
        <v>51</v>
      </c>
      <c r="L6" s="41"/>
      <c r="M6" s="46"/>
      <c r="N6" s="21" t="s">
        <v>39</v>
      </c>
      <c r="O6" s="40" t="s">
        <v>66</v>
      </c>
      <c r="P6" s="41"/>
      <c r="Q6" s="41"/>
      <c r="R6" s="41"/>
      <c r="S6" s="41"/>
      <c r="T6" s="41"/>
      <c r="U6" s="47"/>
    </row>
    <row r="7" spans="2:25" s="6" customFormat="1" ht="18" customHeight="1" x14ac:dyDescent="0.3">
      <c r="B7" s="19" t="s">
        <v>40</v>
      </c>
      <c r="C7" s="22" t="s">
        <v>48</v>
      </c>
      <c r="D7" s="40"/>
      <c r="E7" s="41"/>
      <c r="F7" s="41"/>
      <c r="G7" s="41"/>
      <c r="H7" s="46"/>
      <c r="I7" s="40" t="s">
        <v>41</v>
      </c>
      <c r="J7" s="41"/>
      <c r="K7" s="41"/>
      <c r="L7" s="42" t="s">
        <v>50</v>
      </c>
      <c r="M7" s="42"/>
      <c r="N7" s="42"/>
      <c r="O7" s="42"/>
      <c r="P7" s="42"/>
      <c r="Q7" s="42"/>
      <c r="R7" s="42"/>
      <c r="S7" s="42"/>
      <c r="T7" s="42"/>
      <c r="U7" s="48"/>
    </row>
    <row r="8" spans="2:25" s="6" customFormat="1" ht="24" customHeight="1" x14ac:dyDescent="0.3">
      <c r="B8" s="19" t="s">
        <v>42</v>
      </c>
      <c r="C8" s="21" t="s">
        <v>68</v>
      </c>
      <c r="D8" s="40"/>
      <c r="E8" s="41"/>
      <c r="F8" s="40" t="s">
        <v>43</v>
      </c>
      <c r="G8" s="41"/>
      <c r="H8" s="41"/>
      <c r="I8" s="42" t="s">
        <v>47</v>
      </c>
      <c r="J8" s="42"/>
      <c r="K8" s="42"/>
      <c r="L8" s="42"/>
      <c r="M8" s="42"/>
      <c r="N8" s="42"/>
      <c r="O8" s="42"/>
      <c r="P8" s="42"/>
      <c r="Q8" s="42"/>
      <c r="R8" s="20" t="s">
        <v>44</v>
      </c>
      <c r="S8" s="43">
        <v>46030</v>
      </c>
      <c r="T8" s="44"/>
      <c r="U8" s="45"/>
    </row>
    <row r="9" spans="2:25" x14ac:dyDescent="0.3">
      <c r="P9" s="11"/>
      <c r="Q9" s="11"/>
      <c r="R9" s="11"/>
      <c r="S9" s="11"/>
      <c r="T9" s="11"/>
      <c r="V9" s="13"/>
      <c r="W9" s="12"/>
      <c r="Y9" s="13"/>
    </row>
    <row r="10" spans="2:25" s="1" customFormat="1" x14ac:dyDescent="0.3">
      <c r="B10" s="2" t="s">
        <v>14</v>
      </c>
      <c r="C10" s="5" t="s">
        <v>0</v>
      </c>
      <c r="D10" s="2" t="s">
        <v>1</v>
      </c>
      <c r="E10" s="2" t="s">
        <v>2</v>
      </c>
      <c r="F10" s="2" t="s">
        <v>16</v>
      </c>
      <c r="G10" s="5" t="s">
        <v>17</v>
      </c>
      <c r="H10" s="2" t="s">
        <v>55</v>
      </c>
      <c r="I10" s="2" t="s">
        <v>27</v>
      </c>
      <c r="J10" s="2" t="s">
        <v>3</v>
      </c>
      <c r="K10" s="2" t="s">
        <v>9</v>
      </c>
      <c r="M10" s="4" t="s">
        <v>10</v>
      </c>
      <c r="N10" s="4" t="s">
        <v>11</v>
      </c>
      <c r="P10" s="9" t="s">
        <v>54</v>
      </c>
      <c r="Q10" s="4" t="s">
        <v>26</v>
      </c>
    </row>
    <row r="11" spans="2:25" x14ac:dyDescent="0.3">
      <c r="V11"/>
      <c r="Y11"/>
    </row>
    <row r="12" spans="2:25" s="25" customFormat="1" ht="60" customHeight="1" x14ac:dyDescent="0.3">
      <c r="B12" s="3"/>
      <c r="C12" s="23" t="s">
        <v>4</v>
      </c>
      <c r="D12" s="3" t="s">
        <v>5</v>
      </c>
      <c r="E12" s="3" t="s">
        <v>6</v>
      </c>
      <c r="F12" s="3" t="s">
        <v>25</v>
      </c>
      <c r="G12" s="23" t="s">
        <v>23</v>
      </c>
      <c r="H12" s="3" t="s">
        <v>56</v>
      </c>
      <c r="I12" s="3"/>
      <c r="J12" s="3" t="s">
        <v>12</v>
      </c>
      <c r="K12" s="24">
        <v>11.29</v>
      </c>
      <c r="M12" s="26">
        <v>29.99</v>
      </c>
      <c r="N12" s="27">
        <f>M12/K12</f>
        <v>2.6563330380868027</v>
      </c>
      <c r="P12" s="3">
        <v>36</v>
      </c>
      <c r="Q12" s="28">
        <f>K12*P12</f>
        <v>406.43999999999994</v>
      </c>
    </row>
    <row r="13" spans="2:25" s="31" customFormat="1" ht="60" customHeight="1" x14ac:dyDescent="0.3">
      <c r="B13" s="8"/>
      <c r="C13" s="29" t="s">
        <v>7</v>
      </c>
      <c r="D13" s="8" t="s">
        <v>5</v>
      </c>
      <c r="E13" s="8" t="s">
        <v>6</v>
      </c>
      <c r="F13" s="8" t="s">
        <v>25</v>
      </c>
      <c r="G13" s="29" t="s">
        <v>24</v>
      </c>
      <c r="H13" s="8" t="s">
        <v>57</v>
      </c>
      <c r="I13" s="8"/>
      <c r="J13" s="8" t="s">
        <v>12</v>
      </c>
      <c r="K13" s="30">
        <v>11.64</v>
      </c>
      <c r="M13" s="32">
        <v>29.99</v>
      </c>
      <c r="N13" s="33">
        <f t="shared" ref="N13:N15" si="0">M13/K13</f>
        <v>2.5764604810996561</v>
      </c>
      <c r="P13" s="3">
        <v>36</v>
      </c>
      <c r="Q13" s="28">
        <f t="shared" ref="Q13:Q20" si="1">K13*P13</f>
        <v>419.04</v>
      </c>
    </row>
    <row r="14" spans="2:25" s="25" customFormat="1" ht="60" customHeight="1" x14ac:dyDescent="0.3">
      <c r="B14" s="3"/>
      <c r="C14" s="23" t="s">
        <v>8</v>
      </c>
      <c r="D14" s="3" t="s">
        <v>5</v>
      </c>
      <c r="E14" s="3" t="s">
        <v>6</v>
      </c>
      <c r="F14" s="3" t="s">
        <v>25</v>
      </c>
      <c r="G14" s="23" t="s">
        <v>24</v>
      </c>
      <c r="H14" s="3" t="s">
        <v>58</v>
      </c>
      <c r="I14" s="3"/>
      <c r="J14" s="3" t="s">
        <v>12</v>
      </c>
      <c r="K14" s="24">
        <v>13.29</v>
      </c>
      <c r="M14" s="26">
        <v>34.99</v>
      </c>
      <c r="N14" s="27">
        <f t="shared" si="0"/>
        <v>2.6328066215199399</v>
      </c>
      <c r="P14" s="3">
        <v>36</v>
      </c>
      <c r="Q14" s="28">
        <f t="shared" si="1"/>
        <v>478.43999999999994</v>
      </c>
    </row>
    <row r="15" spans="2:25" s="25" customFormat="1" ht="60" customHeight="1" x14ac:dyDescent="0.3">
      <c r="B15" s="3"/>
      <c r="C15" s="23" t="s">
        <v>4</v>
      </c>
      <c r="D15" s="3" t="s">
        <v>5</v>
      </c>
      <c r="E15" s="3" t="s">
        <v>15</v>
      </c>
      <c r="F15" s="3" t="s">
        <v>25</v>
      </c>
      <c r="G15" s="23" t="s">
        <v>23</v>
      </c>
      <c r="H15" s="3" t="s">
        <v>64</v>
      </c>
      <c r="I15" s="3"/>
      <c r="J15" s="3" t="s">
        <v>13</v>
      </c>
      <c r="K15" s="24">
        <v>8.98</v>
      </c>
      <c r="M15" s="26">
        <v>24.99</v>
      </c>
      <c r="N15" s="27">
        <f t="shared" si="0"/>
        <v>2.7828507795100221</v>
      </c>
      <c r="P15" s="3">
        <v>36</v>
      </c>
      <c r="Q15" s="28">
        <f t="shared" si="1"/>
        <v>323.28000000000003</v>
      </c>
    </row>
    <row r="16" spans="2:25" s="25" customFormat="1" ht="43.5" customHeight="1" x14ac:dyDescent="0.3">
      <c r="B16" s="3"/>
      <c r="C16" s="23" t="s">
        <v>4</v>
      </c>
      <c r="D16" s="3" t="s">
        <v>5</v>
      </c>
      <c r="E16" s="3" t="s">
        <v>6</v>
      </c>
      <c r="F16" s="3" t="s">
        <v>18</v>
      </c>
      <c r="G16" s="23" t="s">
        <v>19</v>
      </c>
      <c r="H16" s="3" t="s">
        <v>59</v>
      </c>
      <c r="I16" s="3"/>
      <c r="J16" s="3" t="s">
        <v>12</v>
      </c>
      <c r="K16" s="24">
        <v>11.29</v>
      </c>
      <c r="M16" s="26">
        <v>29.99</v>
      </c>
      <c r="N16" s="27">
        <f>M16/K16</f>
        <v>2.6563330380868027</v>
      </c>
      <c r="P16" s="3">
        <v>36</v>
      </c>
      <c r="Q16" s="28">
        <f t="shared" si="1"/>
        <v>406.43999999999994</v>
      </c>
    </row>
    <row r="17" spans="2:25" s="25" customFormat="1" ht="60" customHeight="1" x14ac:dyDescent="0.3">
      <c r="B17" s="3"/>
      <c r="C17" s="23" t="s">
        <v>4</v>
      </c>
      <c r="D17" s="3" t="s">
        <v>5</v>
      </c>
      <c r="E17" s="3" t="s">
        <v>6</v>
      </c>
      <c r="F17" s="3" t="s">
        <v>18</v>
      </c>
      <c r="G17" s="23" t="s">
        <v>20</v>
      </c>
      <c r="H17" s="3" t="s">
        <v>60</v>
      </c>
      <c r="I17" s="3"/>
      <c r="J17" s="3" t="s">
        <v>12</v>
      </c>
      <c r="K17" s="24">
        <v>11.29</v>
      </c>
      <c r="M17" s="26">
        <v>29.99</v>
      </c>
      <c r="N17" s="27">
        <f>M17/K17</f>
        <v>2.6563330380868027</v>
      </c>
      <c r="P17" s="3">
        <v>36</v>
      </c>
      <c r="Q17" s="28">
        <f t="shared" si="1"/>
        <v>406.43999999999994</v>
      </c>
    </row>
    <row r="18" spans="2:25" s="31" customFormat="1" ht="60" customHeight="1" x14ac:dyDescent="0.3">
      <c r="B18" s="8"/>
      <c r="C18" s="29" t="s">
        <v>7</v>
      </c>
      <c r="D18" s="8" t="s">
        <v>5</v>
      </c>
      <c r="E18" s="8" t="s">
        <v>6</v>
      </c>
      <c r="F18" s="8" t="s">
        <v>18</v>
      </c>
      <c r="G18" s="29" t="s">
        <v>21</v>
      </c>
      <c r="H18" s="8" t="s">
        <v>61</v>
      </c>
      <c r="I18" s="8"/>
      <c r="J18" s="8" t="s">
        <v>12</v>
      </c>
      <c r="K18" s="30">
        <v>11.64</v>
      </c>
      <c r="M18" s="32">
        <v>29.99</v>
      </c>
      <c r="N18" s="33">
        <f t="shared" ref="N18:N20" si="2">M18/K18</f>
        <v>2.5764604810996561</v>
      </c>
      <c r="P18" s="3">
        <v>36</v>
      </c>
      <c r="Q18" s="28">
        <f t="shared" si="1"/>
        <v>419.04</v>
      </c>
    </row>
    <row r="19" spans="2:25" s="25" customFormat="1" ht="60" customHeight="1" x14ac:dyDescent="0.3">
      <c r="B19" s="3"/>
      <c r="C19" s="23" t="s">
        <v>8</v>
      </c>
      <c r="D19" s="3" t="s">
        <v>5</v>
      </c>
      <c r="E19" s="3" t="s">
        <v>6</v>
      </c>
      <c r="F19" s="3" t="s">
        <v>18</v>
      </c>
      <c r="G19" s="23" t="s">
        <v>19</v>
      </c>
      <c r="H19" s="3" t="s">
        <v>62</v>
      </c>
      <c r="I19" s="3"/>
      <c r="J19" s="3" t="s">
        <v>12</v>
      </c>
      <c r="K19" s="24">
        <v>13.29</v>
      </c>
      <c r="M19" s="26">
        <v>34.99</v>
      </c>
      <c r="N19" s="27">
        <f t="shared" si="2"/>
        <v>2.6328066215199399</v>
      </c>
      <c r="P19" s="3">
        <v>36</v>
      </c>
      <c r="Q19" s="28">
        <f t="shared" si="1"/>
        <v>478.43999999999994</v>
      </c>
    </row>
    <row r="20" spans="2:25" s="25" customFormat="1" ht="60" customHeight="1" x14ac:dyDescent="0.3">
      <c r="B20" s="3"/>
      <c r="C20" s="23" t="s">
        <v>4</v>
      </c>
      <c r="D20" s="3" t="s">
        <v>5</v>
      </c>
      <c r="E20" s="3" t="s">
        <v>15</v>
      </c>
      <c r="F20" s="3" t="s">
        <v>18</v>
      </c>
      <c r="G20" s="23" t="s">
        <v>22</v>
      </c>
      <c r="H20" s="3" t="s">
        <v>63</v>
      </c>
      <c r="I20" s="3"/>
      <c r="J20" s="3" t="s">
        <v>13</v>
      </c>
      <c r="K20" s="24">
        <v>8.98</v>
      </c>
      <c r="M20" s="26">
        <v>24.99</v>
      </c>
      <c r="N20" s="27">
        <f t="shared" si="2"/>
        <v>2.7828507795100221</v>
      </c>
      <c r="P20" s="3">
        <v>36</v>
      </c>
      <c r="Q20" s="28">
        <f t="shared" si="1"/>
        <v>323.28000000000003</v>
      </c>
    </row>
    <row r="21" spans="2:25" s="34" customFormat="1" x14ac:dyDescent="0.3">
      <c r="C21" s="35"/>
      <c r="G21" s="36"/>
      <c r="V21" s="37"/>
      <c r="Y21" s="37"/>
    </row>
    <row r="22" spans="2:25" s="34" customFormat="1" x14ac:dyDescent="0.3">
      <c r="C22" s="35"/>
      <c r="G22" s="36"/>
      <c r="V22" s="37"/>
      <c r="Y22" s="37"/>
    </row>
    <row r="23" spans="2:25" s="34" customFormat="1" x14ac:dyDescent="0.3">
      <c r="C23" s="35"/>
      <c r="G23" s="36"/>
      <c r="P23" s="38">
        <f>SUM(P12:P20)</f>
        <v>324</v>
      </c>
      <c r="Q23" s="39">
        <f>SUM(Q12:Q20)</f>
        <v>3660.84</v>
      </c>
      <c r="V23" s="37"/>
      <c r="Y23" s="37"/>
    </row>
    <row r="24" spans="2:25" s="34" customFormat="1" x14ac:dyDescent="0.3">
      <c r="C24" s="35"/>
      <c r="G24" s="36"/>
      <c r="V24" s="37"/>
      <c r="Y24" s="37"/>
    </row>
  </sheetData>
  <mergeCells count="26">
    <mergeCell ref="B2:D2"/>
    <mergeCell ref="E2:F2"/>
    <mergeCell ref="G2:N2"/>
    <mergeCell ref="O2:U2"/>
    <mergeCell ref="C3:H3"/>
    <mergeCell ref="I3:J3"/>
    <mergeCell ref="K3:Q3"/>
    <mergeCell ref="S3:U3"/>
    <mergeCell ref="C4:E4"/>
    <mergeCell ref="F4:H4"/>
    <mergeCell ref="I4:Q4"/>
    <mergeCell ref="S4:U4"/>
    <mergeCell ref="C5:Q5"/>
    <mergeCell ref="S5:U5"/>
    <mergeCell ref="D8:E8"/>
    <mergeCell ref="F8:H8"/>
    <mergeCell ref="I8:Q8"/>
    <mergeCell ref="S8:U8"/>
    <mergeCell ref="C6:E6"/>
    <mergeCell ref="G6:H6"/>
    <mergeCell ref="I6:J6"/>
    <mergeCell ref="K6:M6"/>
    <mergeCell ref="O6:U6"/>
    <mergeCell ref="D7:H7"/>
    <mergeCell ref="I7:K7"/>
    <mergeCell ref="L7:U7"/>
  </mergeCells>
  <conditionalFormatting sqref="D12:D20 P12:P20">
    <cfRule type="containsText" dxfId="39" priority="88" operator="containsText" text="Sim">
      <formula>NOT(ISERROR(SEARCH("Sim",D12)))</formula>
    </cfRule>
    <cfRule type="containsText" dxfId="38" priority="85" operator="containsText" text="Pendente">
      <formula>NOT(ISERROR(SEARCH("Pendente",D12)))</formula>
    </cfRule>
    <cfRule type="containsText" dxfId="37" priority="86" operator="containsText" text="Enviado">
      <formula>NOT(ISERROR(SEARCH("Enviado",D12)))</formula>
    </cfRule>
    <cfRule type="containsText" dxfId="36" priority="87" operator="containsText" text="Não">
      <formula>NOT(ISERROR(SEARCH("Não",D12)))</formula>
    </cfRule>
  </conditionalFormatting>
  <conditionalFormatting sqref="E12:J15">
    <cfRule type="containsText" dxfId="35" priority="30" operator="containsText" text="100% toalha">
      <formula>NOT(ISERROR(SEARCH("100% toalha",E12)))</formula>
    </cfRule>
    <cfRule type="containsText" dxfId="34" priority="31" operator="containsText" text="Viscose">
      <formula>NOT(ISERROR(SEARCH("Viscose",E12)))</formula>
    </cfRule>
    <cfRule type="containsText" dxfId="33" priority="32" operator="containsText" text="Sem toalha">
      <formula>NOT(ISERROR(SEARCH("Sem toalha",E12)))</formula>
    </cfRule>
    <cfRule type="containsText" dxfId="32" priority="33" operator="containsText" text="Meia toalha">
      <formula>NOT(ISERROR(SEARCH("Meia toalha",E12)))</formula>
    </cfRule>
    <cfRule type="cellIs" dxfId="31" priority="34" operator="equal">
      <formula>"Boxer"</formula>
    </cfRule>
  </conditionalFormatting>
  <conditionalFormatting sqref="E15:J15">
    <cfRule type="cellIs" dxfId="30" priority="76" operator="equal">
      <formula>"Boxer"</formula>
    </cfRule>
    <cfRule type="containsText" dxfId="29" priority="75" operator="containsText" text="Meia toalha">
      <formula>NOT(ISERROR(SEARCH("Meia toalha",E15)))</formula>
    </cfRule>
    <cfRule type="containsText" dxfId="28" priority="74" operator="containsText" text="Sem toalha">
      <formula>NOT(ISERROR(SEARCH("Sem toalha",E15)))</formula>
    </cfRule>
    <cfRule type="containsText" dxfId="27" priority="73" operator="containsText" text="Viscose">
      <formula>NOT(ISERROR(SEARCH("Viscose",E15)))</formula>
    </cfRule>
    <cfRule type="containsText" dxfId="26" priority="72" operator="containsText" text="100% toalha">
      <formula>NOT(ISERROR(SEARCH("100% toalha",E15)))</formula>
    </cfRule>
  </conditionalFormatting>
  <conditionalFormatting sqref="E16:J20">
    <cfRule type="cellIs" dxfId="25" priority="60" operator="equal">
      <formula>"Boxer"</formula>
    </cfRule>
    <cfRule type="containsText" dxfId="24" priority="59" operator="containsText" text="Meia toalha">
      <formula>NOT(ISERROR(SEARCH("Meia toalha",E16)))</formula>
    </cfRule>
    <cfRule type="containsText" dxfId="23" priority="58" operator="containsText" text="Sem toalha">
      <formula>NOT(ISERROR(SEARCH("Sem toalha",E16)))</formula>
    </cfRule>
    <cfRule type="containsText" dxfId="22" priority="57" operator="containsText" text="Viscose">
      <formula>NOT(ISERROR(SEARCH("Viscose",E16)))</formula>
    </cfRule>
    <cfRule type="containsText" dxfId="21" priority="56" operator="containsText" text="100% toalha">
      <formula>NOT(ISERROR(SEARCH("100% toalha",E16)))</formula>
    </cfRule>
  </conditionalFormatting>
  <conditionalFormatting sqref="E20:J20">
    <cfRule type="containsText" dxfId="20" priority="44" operator="containsText" text="Meia toalha">
      <formula>NOT(ISERROR(SEARCH("Meia toalha",E20)))</formula>
    </cfRule>
    <cfRule type="cellIs" dxfId="19" priority="45" operator="equal">
      <formula>"Boxer"</formula>
    </cfRule>
    <cfRule type="containsText" dxfId="18" priority="41" operator="containsText" text="100% toalha">
      <formula>NOT(ISERROR(SEARCH("100% toalha",E20)))</formula>
    </cfRule>
    <cfRule type="containsText" dxfId="17" priority="42" operator="containsText" text="Viscose">
      <formula>NOT(ISERROR(SEARCH("Viscose",E20)))</formula>
    </cfRule>
    <cfRule type="containsText" dxfId="16" priority="43" operator="containsText" text="Sem toalha">
      <formula>NOT(ISERROR(SEARCH("Sem toalha",E20)))</formula>
    </cfRule>
  </conditionalFormatting>
  <conditionalFormatting sqref="E12:K20 B12:C20">
    <cfRule type="containsText" dxfId="15" priority="29" operator="containsText" text="Pendente">
      <formula>NOT(ISERROR(SEARCH("Pendente",B12)))</formula>
    </cfRule>
  </conditionalFormatting>
  <conditionalFormatting sqref="G15">
    <cfRule type="cellIs" dxfId="14" priority="22" operator="equal">
      <formula>"Boxer"</formula>
    </cfRule>
    <cfRule type="containsText" dxfId="13" priority="21" operator="containsText" text="Meia toalha">
      <formula>NOT(ISERROR(SEARCH("Meia toalha",G15)))</formula>
    </cfRule>
    <cfRule type="containsText" dxfId="12" priority="20" operator="containsText" text="Sem toalha">
      <formula>NOT(ISERROR(SEARCH("Sem toalha",G15)))</formula>
    </cfRule>
    <cfRule type="containsText" dxfId="11" priority="19" operator="containsText" text="Viscose">
      <formula>NOT(ISERROR(SEARCH("Viscose",G15)))</formula>
    </cfRule>
    <cfRule type="containsText" dxfId="10" priority="18" operator="containsText" text="100% toalha">
      <formula>NOT(ISERROR(SEARCH("100% toalha",G15)))</formula>
    </cfRule>
  </conditionalFormatting>
  <conditionalFormatting sqref="J15">
    <cfRule type="containsText" dxfId="9" priority="66" operator="containsText" text="100% toalha">
      <formula>NOT(ISERROR(SEARCH("100% toalha",J15)))</formula>
    </cfRule>
    <cfRule type="containsText" dxfId="8" priority="67" operator="containsText" text="Viscose">
      <formula>NOT(ISERROR(SEARCH("Viscose",J15)))</formula>
    </cfRule>
    <cfRule type="containsText" dxfId="7" priority="68" operator="containsText" text="Sem toalha">
      <formula>NOT(ISERROR(SEARCH("Sem toalha",J15)))</formula>
    </cfRule>
    <cfRule type="containsText" dxfId="6" priority="69" operator="containsText" text="Meia toalha">
      <formula>NOT(ISERROR(SEARCH("Meia toalha",J15)))</formula>
    </cfRule>
    <cfRule type="cellIs" dxfId="5" priority="70" operator="equal">
      <formula>"Boxer"</formula>
    </cfRule>
  </conditionalFormatting>
  <conditionalFormatting sqref="J20">
    <cfRule type="containsText" dxfId="4" priority="36" operator="containsText" text="Viscose">
      <formula>NOT(ISERROR(SEARCH("Viscose",J20)))</formula>
    </cfRule>
    <cfRule type="containsText" dxfId="3" priority="35" operator="containsText" text="100% toalha">
      <formula>NOT(ISERROR(SEARCH("100% toalha",J20)))</formula>
    </cfRule>
    <cfRule type="cellIs" dxfId="2" priority="39" operator="equal">
      <formula>"Boxer"</formula>
    </cfRule>
    <cfRule type="containsText" dxfId="1" priority="38" operator="containsText" text="Meia toalha">
      <formula>NOT(ISERROR(SEARCH("Meia toalha",J20)))</formula>
    </cfRule>
    <cfRule type="containsText" dxfId="0" priority="37" operator="containsText" text="Sem toalha">
      <formula>NOT(ISERROR(SEARCH("Sem toalha",J20)))</formula>
    </cfRule>
  </conditionalFormatting>
  <hyperlinks>
    <hyperlink ref="S5" r:id="rId1" xr:uid="{1BF58D33-3F3F-40FB-9B3D-2F26369C0765}"/>
    <hyperlink ref="C7" r:id="rId2" xr:uid="{BA9EAED9-6093-49DD-BB24-E1DDF3223F4A}"/>
  </hyperlinks>
  <pageMargins left="0.511811024" right="0.511811024" top="0.78740157499999996" bottom="0.78740157499999996" header="0.31496062000000002" footer="0.31496062000000002"/>
  <pageSetup paperSize="9" scale="39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Fontana</dc:creator>
  <cp:lastModifiedBy>Viviana Saheki</cp:lastModifiedBy>
  <cp:lastPrinted>2026-01-08T19:17:35Z</cp:lastPrinted>
  <dcterms:created xsi:type="dcterms:W3CDTF">2025-01-23T19:55:38Z</dcterms:created>
  <dcterms:modified xsi:type="dcterms:W3CDTF">2026-01-08T19:18:40Z</dcterms:modified>
</cp:coreProperties>
</file>