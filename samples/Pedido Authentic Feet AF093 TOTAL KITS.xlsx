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P:\COMERCIAL\CLIENTES\GRUPO AFEET\PEDIDO DO CLIENTE\"/>
    </mc:Choice>
  </mc:AlternateContent>
  <xr:revisionPtr revIDLastSave="0" documentId="13_ncr:1_{C9798332-919C-4F67-B6CD-A95F7506D9A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" sheetId="3" r:id="rId1"/>
  </sheets>
  <definedNames>
    <definedName name="_xlnm._FilterDatabase" localSheetId="0" hidden="1">'1'!$B$10:$U$23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1" i="3" l="1"/>
  <c r="T20" i="3"/>
  <c r="T19" i="3"/>
  <c r="T18" i="3"/>
  <c r="T17" i="3"/>
  <c r="T16" i="3" l="1"/>
  <c r="T13" i="3" l="1"/>
  <c r="S23" i="3" l="1"/>
  <c r="T14" i="3"/>
  <c r="T12" i="3"/>
  <c r="T15" i="3"/>
  <c r="T23" i="3" l="1"/>
</calcChain>
</file>

<file path=xl/sharedStrings.xml><?xml version="1.0" encoding="utf-8"?>
<sst xmlns="http://schemas.openxmlformats.org/spreadsheetml/2006/main" count="104" uniqueCount="69">
  <si>
    <t>CUSTO</t>
  </si>
  <si>
    <t>CONTATO FINANCEIRO:</t>
  </si>
  <si>
    <t xml:space="preserve">CONTATO: </t>
  </si>
  <si>
    <t xml:space="preserve">CNPJ: </t>
  </si>
  <si>
    <t xml:space="preserve">ENDEREÇO:  </t>
  </si>
  <si>
    <t xml:space="preserve">CIDADE:  </t>
  </si>
  <si>
    <t xml:space="preserve">UF: </t>
  </si>
  <si>
    <t>FANTASIA:</t>
  </si>
  <si>
    <t>DATA DO PEDIDO:</t>
  </si>
  <si>
    <t>TELEFONE:</t>
  </si>
  <si>
    <t>CEP:</t>
  </si>
  <si>
    <t xml:space="preserve">E-MAIL PARA NFE: </t>
  </si>
  <si>
    <t>BAIRRO:</t>
  </si>
  <si>
    <t xml:space="preserve">DATA DE FATURAMENTO: </t>
  </si>
  <si>
    <t>E-MAIL COMPRAS:</t>
  </si>
  <si>
    <t>IMAGEM</t>
  </si>
  <si>
    <t>REF.</t>
  </si>
  <si>
    <t>REF COR</t>
  </si>
  <si>
    <t xml:space="preserve">RAZÃO SOCIAL:  </t>
  </si>
  <si>
    <t xml:space="preserve">INSC. ESTADUAL:  </t>
  </si>
  <si>
    <t xml:space="preserve">COND. DE PGTO. : </t>
  </si>
  <si>
    <t>SUGESTÃO</t>
  </si>
  <si>
    <t>TOTAL R$</t>
  </si>
  <si>
    <t>001</t>
  </si>
  <si>
    <t>002</t>
  </si>
  <si>
    <t>DESCRIÇÃO COR</t>
  </si>
  <si>
    <t>DESCRIÇÃO PRODUTO</t>
  </si>
  <si>
    <t>TAMANHOS</t>
  </si>
  <si>
    <t>39 - 44</t>
  </si>
  <si>
    <t>OBS</t>
  </si>
  <si>
    <t>100</t>
  </si>
  <si>
    <t>900</t>
  </si>
  <si>
    <t>102</t>
  </si>
  <si>
    <t>33 - 38</t>
  </si>
  <si>
    <t>KIT 3</t>
  </si>
  <si>
    <t>KIT 3 PARES - SAPATILHA</t>
  </si>
  <si>
    <t>BRANCO</t>
  </si>
  <si>
    <t>SORTIDO (BRANCO/CINZA/PRETO)</t>
  </si>
  <si>
    <t>PRETO</t>
  </si>
  <si>
    <t>60 Dias</t>
  </si>
  <si>
    <t>OBS:</t>
  </si>
  <si>
    <t>TOTAL KITS</t>
  </si>
  <si>
    <t>KIT 3 PARES - CANO BAIXO TEC.</t>
  </si>
  <si>
    <t>AFK3S-A-100-3338</t>
  </si>
  <si>
    <t>AFK3S-A-900-3338</t>
  </si>
  <si>
    <t>AFK3S-A-001-3338</t>
  </si>
  <si>
    <t>AFK3S-A-100-3944</t>
  </si>
  <si>
    <t>AFK3S-A-900-3944</t>
  </si>
  <si>
    <t>AFK3S-A-001-3944</t>
  </si>
  <si>
    <t>AFK3C-B-102-3338</t>
  </si>
  <si>
    <t>AFK3C-B-101-3338</t>
  </si>
  <si>
    <t>AFK3C-B-102-3944</t>
  </si>
  <si>
    <t>AFK3C-B-101-3944</t>
  </si>
  <si>
    <t>BRANCO/PRETO</t>
  </si>
  <si>
    <t>PRETO/CINZA</t>
  </si>
  <si>
    <t>(11) 4771-0489</t>
  </si>
  <si>
    <t>KARINA</t>
  </si>
  <si>
    <t>Financeiro@grupoxambre.com.br supervisao.xambre@artwalk.com.br</t>
  </si>
  <si>
    <t>supervisao.xambre@artwalk.com.br</t>
  </si>
  <si>
    <t>SP</t>
  </si>
  <si>
    <t>MACCA ESPORTES E COMERCIO LTDA</t>
  </si>
  <si>
    <t>23.473.808/0016-78</t>
  </si>
  <si>
    <t>Av. das Nações Unidas, 22540 Lj A5-07</t>
  </si>
  <si>
    <t>Vila Almeida</t>
  </si>
  <si>
    <t>SÃO PAULO</t>
  </si>
  <si>
    <t>04795-000</t>
  </si>
  <si>
    <t>NOVEMNRO</t>
  </si>
  <si>
    <t>NOVEMBRO</t>
  </si>
  <si>
    <t>AF093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</si>
</sst>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-[$R$-416]\ * #,##0.00_-;\-[$R$-416]\ * #,##0.00_-;_-[$R$-416]\ * &quot;-&quot;??_-;_-@_-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</font>
    <font>
      <b/>
      <sz val="10"/>
      <color rgb="FF0070C0"/>
      <name val="Calibri"/>
      <family val="2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</font>
    <font>
      <b/>
      <sz val="14"/>
      <color indexed="8"/>
      <name val="Calibri"/>
      <family val="2"/>
    </font>
    <font>
      <b/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89">
    <xf numFmtId="0" fontId="0" fillId="0" borderId="0" xfId="0"/>
    <xf numFmtId="0" fontId="0" fillId="2" borderId="14" xfId="0" applyFill="1" applyBorder="1" applyAlignment="1" applyProtection="1">
      <alignment horizontal="center" vertical="center" wrapText="1"/>
      <protection locked="0"/>
    </xf>
    <xf numFmtId="4" fontId="0" fillId="2" borderId="14" xfId="0" applyNumberFormat="1" applyFill="1" applyBorder="1" applyAlignment="1" applyProtection="1">
      <alignment horizontal="center" vertical="center" wrapText="1"/>
      <protection locked="0"/>
    </xf>
    <xf numFmtId="49" fontId="9" fillId="0" borderId="17" xfId="0" applyNumberFormat="1" applyFont="1" applyBorder="1" applyAlignment="1">
      <alignment horizontal="center" vertical="center" wrapText="1"/>
    </xf>
    <xf numFmtId="49" fontId="0" fillId="2" borderId="14" xfId="0" applyNumberFormat="1" applyFill="1" applyBorder="1" applyAlignment="1" applyProtection="1">
      <alignment horizontal="center" vertical="center" wrapText="1"/>
      <protection locked="0"/>
    </xf>
    <xf numFmtId="49" fontId="0" fillId="2" borderId="1" xfId="0" applyNumberForma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164" fontId="0" fillId="2" borderId="14" xfId="1" applyFont="1" applyFill="1" applyBorder="1" applyAlignment="1">
      <alignment horizontal="center" vertical="center" wrapText="1"/>
    </xf>
    <xf numFmtId="3" fontId="4" fillId="2" borderId="14" xfId="0" applyNumberFormat="1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164" fontId="0" fillId="2" borderId="1" xfId="1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 applyProtection="1">
      <alignment horizontal="center" vertical="center" wrapText="1"/>
      <protection locked="0"/>
    </xf>
    <xf numFmtId="165" fontId="0" fillId="2" borderId="1" xfId="0" applyNumberFormat="1" applyFill="1" applyBorder="1" applyAlignment="1" applyProtection="1">
      <alignment horizontal="center" vertical="center" wrapText="1"/>
      <protection locked="0"/>
    </xf>
    <xf numFmtId="165" fontId="0" fillId="2" borderId="14" xfId="0" applyNumberFormat="1" applyFill="1" applyBorder="1" applyAlignment="1" applyProtection="1">
      <alignment horizontal="center" vertical="center" wrapText="1"/>
      <protection locked="0"/>
    </xf>
    <xf numFmtId="165" fontId="0" fillId="2" borderId="14" xfId="1" applyNumberFormat="1" applyFont="1" applyFill="1" applyBorder="1" applyAlignment="1" applyProtection="1">
      <alignment horizontal="center" vertical="center" wrapText="1"/>
      <protection locked="0"/>
    </xf>
    <xf numFmtId="0" fontId="13" fillId="3" borderId="5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43" fontId="0" fillId="2" borderId="0" xfId="0" applyNumberFormat="1" applyFill="1" applyAlignment="1">
      <alignment horizontal="center" vertical="center" wrapText="1"/>
    </xf>
    <xf numFmtId="164" fontId="4" fillId="2" borderId="3" xfId="1" applyFont="1" applyFill="1" applyBorder="1" applyAlignment="1">
      <alignment horizontal="center" vertical="center" wrapText="1"/>
    </xf>
    <xf numFmtId="164" fontId="4" fillId="2" borderId="9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164" fontId="4" fillId="2" borderId="27" xfId="1" applyFont="1" applyFill="1" applyBorder="1" applyAlignment="1">
      <alignment horizontal="center" vertical="center" wrapText="1"/>
    </xf>
    <xf numFmtId="164" fontId="4" fillId="2" borderId="31" xfId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164" fontId="6" fillId="2" borderId="3" xfId="1" applyFont="1" applyFill="1" applyBorder="1" applyAlignment="1">
      <alignment horizontal="center" vertical="center" wrapText="1"/>
    </xf>
    <xf numFmtId="164" fontId="6" fillId="2" borderId="9" xfId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0" fillId="0" borderId="3" xfId="2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164" fontId="9" fillId="0" borderId="18" xfId="1" applyFont="1" applyBorder="1" applyAlignment="1">
      <alignment horizontal="center" vertical="center" wrapText="1"/>
    </xf>
    <xf numFmtId="164" fontId="9" fillId="0" borderId="12" xfId="1" applyFont="1" applyBorder="1" applyAlignment="1">
      <alignment horizontal="center" vertical="center" wrapText="1"/>
    </xf>
    <xf numFmtId="164" fontId="9" fillId="0" borderId="26" xfId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left" vertical="center" wrapText="1"/>
    </xf>
    <xf numFmtId="14" fontId="8" fillId="0" borderId="2" xfId="0" applyNumberFormat="1" applyFont="1" applyBorder="1" applyAlignment="1">
      <alignment horizontal="left" vertical="center" wrapText="1"/>
    </xf>
    <xf numFmtId="14" fontId="8" fillId="0" borderId="9" xfId="0" applyNumberFormat="1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49" fontId="12" fillId="0" borderId="11" xfId="0" applyNumberFormat="1" applyFont="1" applyBorder="1" applyAlignment="1">
      <alignment horizontal="center" wrapText="1"/>
    </xf>
    <xf numFmtId="49" fontId="12" fillId="0" borderId="12" xfId="0" applyNumberFormat="1" applyFont="1" applyBorder="1" applyAlignment="1">
      <alignment horizontal="center" wrapText="1"/>
    </xf>
    <xf numFmtId="49" fontId="12" fillId="0" borderId="13" xfId="0" applyNumberFormat="1" applyFont="1" applyBorder="1" applyAlignment="1">
      <alignment horizont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2" borderId="21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left" vertical="center" wrapText="1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D78"/>
      <color rgb="FF0D24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183444</xdr:colOff>
      <xdr:row>11</xdr:row>
      <xdr:rowOff>42333</xdr:rowOff>
    </xdr:from>
    <xdr:to>
      <xdr:col>1</xdr:col>
      <xdr:colOff>893585</xdr:colOff>
      <xdr:row>11</xdr:row>
      <xdr:rowOff>606778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C107D0D-32A2-6C43-9B87-155E5D457D0F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09222" y="3104444"/>
          <a:ext cx="719666" cy="564445"/>
        </a:xfrm>
        <a:prstGeom prst="rect">
          <a:avLst/>
        </a:prstGeom>
      </xdr:spPr>
    </xdr:pic>
    <xdr:clientData/>
  </xdr:twoCellAnchor>
  <xdr:twoCellAnchor editAs="oneCell">
    <xdr:from>
      <xdr:col>1</xdr:col>
      <xdr:colOff>197555</xdr:colOff>
      <xdr:row>12</xdr:row>
      <xdr:rowOff>22972</xdr:rowOff>
    </xdr:from>
    <xdr:to>
      <xdr:col>1</xdr:col>
      <xdr:colOff>898171</xdr:colOff>
      <xdr:row>12</xdr:row>
      <xdr:rowOff>591748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B6AEF556-0026-184F-B1AE-0D2E89F90FD9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23333" y="3720083"/>
          <a:ext cx="719666" cy="572586"/>
        </a:xfrm>
        <a:prstGeom prst="rect">
          <a:avLst/>
        </a:prstGeom>
      </xdr:spPr>
    </xdr:pic>
    <xdr:clientData/>
  </xdr:twoCellAnchor>
  <xdr:twoCellAnchor editAs="oneCell">
    <xdr:from>
      <xdr:col>1</xdr:col>
      <xdr:colOff>197556</xdr:colOff>
      <xdr:row>13</xdr:row>
      <xdr:rowOff>31011</xdr:rowOff>
    </xdr:from>
    <xdr:to>
      <xdr:col>1</xdr:col>
      <xdr:colOff>898172</xdr:colOff>
      <xdr:row>13</xdr:row>
      <xdr:rowOff>588866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FC24292D-0277-AE43-8B86-FBF054C9A964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23334" y="4363122"/>
          <a:ext cx="719666" cy="567380"/>
        </a:xfrm>
        <a:prstGeom prst="rect">
          <a:avLst/>
        </a:prstGeom>
      </xdr:spPr>
    </xdr:pic>
    <xdr:clientData/>
  </xdr:twoCellAnchor>
  <xdr:twoCellAnchor editAs="oneCell">
    <xdr:from>
      <xdr:col>1</xdr:col>
      <xdr:colOff>155221</xdr:colOff>
      <xdr:row>14</xdr:row>
      <xdr:rowOff>56444</xdr:rowOff>
    </xdr:from>
    <xdr:to>
      <xdr:col>1</xdr:col>
      <xdr:colOff>874887</xdr:colOff>
      <xdr:row>15</xdr:row>
      <xdr:rowOff>1764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C43A1C32-F950-474E-86AE-2A421D84F59D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0999" y="5658555"/>
          <a:ext cx="719666" cy="564445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169332</xdr:colOff>
      <xdr:row>15</xdr:row>
      <xdr:rowOff>37083</xdr:rowOff>
    </xdr:from>
    <xdr:to>
      <xdr:col>1</xdr:col>
      <xdr:colOff>892808</xdr:colOff>
      <xdr:row>15</xdr:row>
      <xdr:rowOff>609669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3FE38EC2-0E4E-364C-A2C6-BB935D526252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5110" y="6274194"/>
          <a:ext cx="719666" cy="572586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169333</xdr:colOff>
      <xdr:row>16</xdr:row>
      <xdr:rowOff>45122</xdr:rowOff>
    </xdr:from>
    <xdr:to>
      <xdr:col>1</xdr:col>
      <xdr:colOff>892809</xdr:colOff>
      <xdr:row>16</xdr:row>
      <xdr:rowOff>612502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17845414-0007-D94A-817B-8A3D244739DC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5111" y="6917233"/>
          <a:ext cx="719666" cy="567380"/>
        </a:xfrm>
        <a:prstGeom prst="rect">
          <a:avLst/>
        </a:prstGeom>
      </xdr:spPr>
    </xdr:pic>
    <xdr:clientData/>
  </xdr:twoCellAnchor>
  <xdr:twoCellAnchor editAs="oneCell">
    <xdr:from>
      <xdr:col>1</xdr:col>
      <xdr:colOff>229306</xdr:colOff>
      <xdr:row>18</xdr:row>
      <xdr:rowOff>36524</xdr:rowOff>
    </xdr:from>
    <xdr:to>
      <xdr:col>1</xdr:col>
      <xdr:colOff>874890</xdr:colOff>
      <xdr:row>19</xdr:row>
      <xdr:rowOff>1765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3A7B5EA6-B14B-CF4B-95C4-E6A262F6AEE2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55084" y="25323635"/>
          <a:ext cx="645584" cy="584366"/>
        </a:xfrm>
        <a:prstGeom prst="rect">
          <a:avLst/>
        </a:prstGeom>
      </xdr:spPr>
    </xdr:pic>
    <xdr:clientData/>
  </xdr:twoCellAnchor>
  <xdr:twoCellAnchor editAs="oneCell">
    <xdr:from>
      <xdr:col>1</xdr:col>
      <xdr:colOff>215195</xdr:colOff>
      <xdr:row>20</xdr:row>
      <xdr:rowOff>50634</xdr:rowOff>
    </xdr:from>
    <xdr:to>
      <xdr:col>1</xdr:col>
      <xdr:colOff>856969</xdr:colOff>
      <xdr:row>21</xdr:row>
      <xdr:rowOff>0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8B51D174-D8B5-4243-B776-00DD57ABAD36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40973" y="27242745"/>
          <a:ext cx="645584" cy="584366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1524000</xdr:colOff>
      <xdr:row>1</xdr:row>
      <xdr:rowOff>38100</xdr:rowOff>
    </xdr:from>
    <xdr:to>
      <xdr:col>15</xdr:col>
      <xdr:colOff>381000</xdr:colOff>
      <xdr:row>1</xdr:row>
      <xdr:rowOff>592895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E3CF42C1-60EB-8B55-9025-356EB75B2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81500" y="177800"/>
          <a:ext cx="5969000" cy="550985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17</xdr:row>
      <xdr:rowOff>57150</xdr:rowOff>
    </xdr:from>
    <xdr:to>
      <xdr:col>1</xdr:col>
      <xdr:colOff>824192</xdr:colOff>
      <xdr:row>17</xdr:row>
      <xdr:rowOff>589492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D407ABD-78B4-4C1D-B2AD-7D712A42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7650" y="6296025"/>
          <a:ext cx="776567" cy="532342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19</xdr:row>
      <xdr:rowOff>47625</xdr:rowOff>
    </xdr:from>
    <xdr:to>
      <xdr:col>1</xdr:col>
      <xdr:colOff>833717</xdr:colOff>
      <xdr:row>19</xdr:row>
      <xdr:rowOff>579967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22A85A1-AA37-40D2-ACB7-58062CE15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7175" y="7581900"/>
          <a:ext cx="776567" cy="5323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upervisao.xambre@artwalk.com.br" TargetMode="External"/><Relationship Id="rId1" Type="http://schemas.openxmlformats.org/officeDocument/2006/relationships/hyperlink" Target="mailto:Financeiro@grupoxambre.com.b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26"/>
  <sheetViews>
    <sheetView showGridLines="0" tabSelected="1" zoomScaleNormal="100" workbookViewId="0">
      <pane ySplit="10" topLeftCell="A15" activePane="bottomLeft" state="frozen"/>
      <selection pane="bottomLeft" activeCell="K3" sqref="K3:Q3"/>
    </sheetView>
  </sheetViews>
  <sheetFormatPr defaultColWidth="8.7109375" defaultRowHeight="15" x14ac:dyDescent="0.25"/>
  <cols>
    <col min="1" max="1" width="3" style="6" customWidth="1"/>
    <col min="2" max="2" width="15.28515625" style="6" bestFit="1" customWidth="1"/>
    <col min="3" max="3" width="9.42578125" style="6" customWidth="1"/>
    <col min="4" max="4" width="11.42578125" style="7" customWidth="1"/>
    <col min="5" max="5" width="28.28515625" style="7" bestFit="1" customWidth="1"/>
    <col min="6" max="16" width="6.42578125" style="6" customWidth="1"/>
    <col min="17" max="17" width="14.42578125" style="6" customWidth="1"/>
    <col min="18" max="18" width="15.42578125" style="6" bestFit="1" customWidth="1"/>
    <col min="19" max="19" width="11.7109375" style="6" bestFit="1" customWidth="1"/>
    <col min="20" max="20" width="13.42578125" style="6" customWidth="1"/>
    <col min="21" max="21" width="3.42578125" style="6" customWidth="1"/>
    <col min="22" max="22" width="1.140625" style="6" customWidth="1"/>
    <col min="23" max="25" width="31.42578125" style="6" customWidth="1"/>
    <col min="26" max="16384" width="8.7109375" style="6"/>
  </cols>
  <sheetData>
    <row r="1" spans="2:21" ht="11.25" customHeight="1" thickBot="1" x14ac:dyDescent="0.3"/>
    <row r="2" spans="2:21" ht="49.9" customHeight="1" thickBot="1" x14ac:dyDescent="0.35">
      <c r="B2" s="72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4"/>
    </row>
    <row r="3" spans="2:21" ht="13.9" customHeight="1" x14ac:dyDescent="0.25">
      <c r="B3" s="8" t="s">
        <v>18</v>
      </c>
      <c r="C3" s="82" t="s">
        <v>60</v>
      </c>
      <c r="D3" s="83"/>
      <c r="E3" s="83"/>
      <c r="F3" s="83"/>
      <c r="G3" s="83"/>
      <c r="H3" s="84"/>
      <c r="I3" s="80" t="s">
        <v>7</v>
      </c>
      <c r="J3" s="81"/>
      <c r="K3" s="85" t="s">
        <v>68</v>
      </c>
      <c r="L3" s="85"/>
      <c r="M3" s="85"/>
      <c r="N3" s="85"/>
      <c r="O3" s="85"/>
      <c r="P3" s="85"/>
      <c r="Q3" s="85"/>
      <c r="R3" s="9" t="s">
        <v>2</v>
      </c>
      <c r="S3" s="86" t="s">
        <v>56</v>
      </c>
      <c r="T3" s="86"/>
      <c r="U3" s="87"/>
    </row>
    <row r="4" spans="2:21" ht="13.9" customHeight="1" x14ac:dyDescent="0.25">
      <c r="B4" s="10" t="s">
        <v>3</v>
      </c>
      <c r="C4" s="70" t="s">
        <v>61</v>
      </c>
      <c r="D4" s="70"/>
      <c r="E4" s="70"/>
      <c r="F4" s="52" t="s">
        <v>19</v>
      </c>
      <c r="G4" s="53"/>
      <c r="H4" s="53"/>
      <c r="I4" s="88">
        <v>138502306118</v>
      </c>
      <c r="J4" s="70"/>
      <c r="K4" s="70"/>
      <c r="L4" s="70"/>
      <c r="M4" s="70"/>
      <c r="N4" s="70"/>
      <c r="O4" s="70"/>
      <c r="P4" s="70"/>
      <c r="Q4" s="70"/>
      <c r="R4" s="11" t="s">
        <v>9</v>
      </c>
      <c r="S4" s="58" t="s">
        <v>55</v>
      </c>
      <c r="T4" s="59"/>
      <c r="U4" s="69"/>
    </row>
    <row r="5" spans="2:21" ht="13.9" customHeight="1" x14ac:dyDescent="0.25">
      <c r="B5" s="10" t="s">
        <v>4</v>
      </c>
      <c r="C5" s="58" t="s">
        <v>62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61"/>
      <c r="R5" s="11" t="s">
        <v>14</v>
      </c>
      <c r="S5" s="60" t="s">
        <v>58</v>
      </c>
      <c r="T5" s="59"/>
      <c r="U5" s="69"/>
    </row>
    <row r="6" spans="2:21" ht="13.9" customHeight="1" x14ac:dyDescent="0.25">
      <c r="B6" s="10" t="s">
        <v>5</v>
      </c>
      <c r="C6" s="58" t="s">
        <v>64</v>
      </c>
      <c r="D6" s="59"/>
      <c r="E6" s="59"/>
      <c r="F6" s="11" t="s">
        <v>6</v>
      </c>
      <c r="G6" s="70" t="s">
        <v>59</v>
      </c>
      <c r="H6" s="70"/>
      <c r="I6" s="52" t="s">
        <v>12</v>
      </c>
      <c r="J6" s="53"/>
      <c r="K6" s="58" t="s">
        <v>63</v>
      </c>
      <c r="L6" s="59"/>
      <c r="M6" s="61"/>
      <c r="N6" s="12" t="s">
        <v>10</v>
      </c>
      <c r="O6" s="58" t="s">
        <v>65</v>
      </c>
      <c r="P6" s="59"/>
      <c r="Q6" s="59"/>
      <c r="R6" s="59"/>
      <c r="S6" s="59"/>
      <c r="T6" s="59"/>
      <c r="U6" s="69"/>
    </row>
    <row r="7" spans="2:21" ht="13.9" customHeight="1" x14ac:dyDescent="0.25">
      <c r="B7" s="10" t="s">
        <v>11</v>
      </c>
      <c r="C7" s="12"/>
      <c r="D7" s="60" t="s">
        <v>57</v>
      </c>
      <c r="E7" s="59"/>
      <c r="F7" s="59"/>
      <c r="G7" s="59"/>
      <c r="H7" s="61"/>
      <c r="I7" s="52" t="s">
        <v>1</v>
      </c>
      <c r="J7" s="53"/>
      <c r="K7" s="53"/>
      <c r="L7" s="70"/>
      <c r="M7" s="70"/>
      <c r="N7" s="70"/>
      <c r="O7" s="70"/>
      <c r="P7" s="70"/>
      <c r="Q7" s="70"/>
      <c r="R7" s="70"/>
      <c r="S7" s="70"/>
      <c r="T7" s="70"/>
      <c r="U7" s="71"/>
    </row>
    <row r="8" spans="2:21" ht="13.9" customHeight="1" x14ac:dyDescent="0.25">
      <c r="B8" s="75" t="s">
        <v>13</v>
      </c>
      <c r="C8" s="76"/>
      <c r="D8" s="58" t="s">
        <v>67</v>
      </c>
      <c r="E8" s="59"/>
      <c r="F8" s="52" t="s">
        <v>20</v>
      </c>
      <c r="G8" s="53"/>
      <c r="H8" s="53"/>
      <c r="I8" s="51" t="s">
        <v>39</v>
      </c>
      <c r="J8" s="51"/>
      <c r="K8" s="51"/>
      <c r="L8" s="51"/>
      <c r="M8" s="51"/>
      <c r="N8" s="51"/>
      <c r="O8" s="51"/>
      <c r="P8" s="51"/>
      <c r="Q8" s="51"/>
      <c r="R8" s="11" t="s">
        <v>8</v>
      </c>
      <c r="S8" s="66">
        <v>46297</v>
      </c>
      <c r="T8" s="67"/>
      <c r="U8" s="68"/>
    </row>
    <row r="9" spans="2:21" ht="28.15" customHeight="1" thickBot="1" x14ac:dyDescent="0.3">
      <c r="B9" s="26" t="s">
        <v>40</v>
      </c>
      <c r="C9" s="77" t="s">
        <v>66</v>
      </c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9"/>
    </row>
    <row r="10" spans="2:21" ht="22.15" customHeight="1" thickBot="1" x14ac:dyDescent="0.3">
      <c r="B10" s="13" t="s">
        <v>15</v>
      </c>
      <c r="C10" s="14" t="s">
        <v>16</v>
      </c>
      <c r="D10" s="3" t="s">
        <v>17</v>
      </c>
      <c r="E10" s="3" t="s">
        <v>26</v>
      </c>
      <c r="F10" s="55" t="s">
        <v>25</v>
      </c>
      <c r="G10" s="56"/>
      <c r="H10" s="56"/>
      <c r="I10" s="57"/>
      <c r="J10" s="62" t="s">
        <v>27</v>
      </c>
      <c r="K10" s="63"/>
      <c r="L10" s="64"/>
      <c r="M10" s="55" t="s">
        <v>29</v>
      </c>
      <c r="N10" s="56"/>
      <c r="O10" s="56"/>
      <c r="P10" s="57"/>
      <c r="Q10" s="14" t="s">
        <v>0</v>
      </c>
      <c r="R10" s="14" t="s">
        <v>21</v>
      </c>
      <c r="S10" s="15" t="s">
        <v>41</v>
      </c>
      <c r="T10" s="55" t="s">
        <v>22</v>
      </c>
      <c r="U10" s="65"/>
    </row>
    <row r="11" spans="2:21" ht="3" customHeight="1" x14ac:dyDescent="0.25">
      <c r="B11" s="16"/>
      <c r="C11" s="1"/>
      <c r="D11" s="4"/>
      <c r="E11" s="4"/>
      <c r="F11" s="35"/>
      <c r="G11" s="36"/>
      <c r="H11" s="36"/>
      <c r="I11" s="37"/>
      <c r="J11" s="35"/>
      <c r="K11" s="36"/>
      <c r="L11" s="37"/>
      <c r="M11" s="35"/>
      <c r="N11" s="36"/>
      <c r="O11" s="36"/>
      <c r="P11" s="37"/>
      <c r="Q11" s="17"/>
      <c r="R11" s="2"/>
      <c r="S11" s="18"/>
      <c r="T11" s="33"/>
      <c r="U11" s="34"/>
    </row>
    <row r="12" spans="2:21" s="27" customFormat="1" ht="49.9" customHeight="1" x14ac:dyDescent="0.25">
      <c r="B12" s="16"/>
      <c r="C12" s="1" t="s">
        <v>43</v>
      </c>
      <c r="D12" s="4" t="s">
        <v>30</v>
      </c>
      <c r="E12" s="4" t="s">
        <v>35</v>
      </c>
      <c r="F12" s="35" t="s">
        <v>36</v>
      </c>
      <c r="G12" s="36"/>
      <c r="H12" s="36"/>
      <c r="I12" s="37"/>
      <c r="J12" s="38" t="s">
        <v>33</v>
      </c>
      <c r="K12" s="39"/>
      <c r="L12" s="40"/>
      <c r="M12" s="38" t="s">
        <v>34</v>
      </c>
      <c r="N12" s="39"/>
      <c r="O12" s="39"/>
      <c r="P12" s="40"/>
      <c r="Q12" s="17">
        <v>11.96</v>
      </c>
      <c r="R12" s="25">
        <v>29.99</v>
      </c>
      <c r="S12" s="18">
        <v>36</v>
      </c>
      <c r="T12" s="41">
        <f t="shared" ref="T12:T16" si="0">Q12*S12</f>
        <v>430.56000000000006</v>
      </c>
      <c r="U12" s="42"/>
    </row>
    <row r="13" spans="2:21" s="27" customFormat="1" ht="49.9" customHeight="1" x14ac:dyDescent="0.25">
      <c r="B13" s="16"/>
      <c r="C13" s="1" t="s">
        <v>44</v>
      </c>
      <c r="D13" s="5" t="s">
        <v>31</v>
      </c>
      <c r="E13" s="4" t="s">
        <v>35</v>
      </c>
      <c r="F13" s="35" t="s">
        <v>37</v>
      </c>
      <c r="G13" s="36"/>
      <c r="H13" s="36"/>
      <c r="I13" s="37"/>
      <c r="J13" s="38" t="s">
        <v>33</v>
      </c>
      <c r="K13" s="39"/>
      <c r="L13" s="40"/>
      <c r="M13" s="35" t="s">
        <v>34</v>
      </c>
      <c r="N13" s="36"/>
      <c r="O13" s="36"/>
      <c r="P13" s="37"/>
      <c r="Q13" s="17">
        <v>11.96</v>
      </c>
      <c r="R13" s="25">
        <v>29.99</v>
      </c>
      <c r="S13" s="18">
        <v>60</v>
      </c>
      <c r="T13" s="33">
        <f t="shared" si="0"/>
        <v>717.6</v>
      </c>
      <c r="U13" s="34"/>
    </row>
    <row r="14" spans="2:21" s="27" customFormat="1" ht="49.9" customHeight="1" x14ac:dyDescent="0.25">
      <c r="B14" s="16"/>
      <c r="C14" s="1" t="s">
        <v>45</v>
      </c>
      <c r="D14" s="5" t="s">
        <v>23</v>
      </c>
      <c r="E14" s="4" t="s">
        <v>35</v>
      </c>
      <c r="F14" s="35" t="s">
        <v>38</v>
      </c>
      <c r="G14" s="36"/>
      <c r="H14" s="36"/>
      <c r="I14" s="37"/>
      <c r="J14" s="38" t="s">
        <v>33</v>
      </c>
      <c r="K14" s="39"/>
      <c r="L14" s="40"/>
      <c r="M14" s="35" t="s">
        <v>34</v>
      </c>
      <c r="N14" s="36"/>
      <c r="O14" s="36"/>
      <c r="P14" s="37"/>
      <c r="Q14" s="17">
        <v>11.96</v>
      </c>
      <c r="R14" s="25">
        <v>29.99</v>
      </c>
      <c r="S14" s="18">
        <v>60</v>
      </c>
      <c r="T14" s="33">
        <f t="shared" si="0"/>
        <v>717.6</v>
      </c>
      <c r="U14" s="34"/>
    </row>
    <row r="15" spans="2:21" s="27" customFormat="1" ht="49.9" customHeight="1" x14ac:dyDescent="0.25">
      <c r="B15" s="16"/>
      <c r="C15" s="1" t="s">
        <v>46</v>
      </c>
      <c r="D15" s="4" t="s">
        <v>30</v>
      </c>
      <c r="E15" s="4" t="s">
        <v>35</v>
      </c>
      <c r="F15" s="35" t="s">
        <v>36</v>
      </c>
      <c r="G15" s="36"/>
      <c r="H15" s="36"/>
      <c r="I15" s="37"/>
      <c r="J15" s="38" t="s">
        <v>28</v>
      </c>
      <c r="K15" s="39"/>
      <c r="L15" s="40"/>
      <c r="M15" s="35" t="s">
        <v>34</v>
      </c>
      <c r="N15" s="36"/>
      <c r="O15" s="36"/>
      <c r="P15" s="37"/>
      <c r="Q15" s="17">
        <v>11.96</v>
      </c>
      <c r="R15" s="25">
        <v>29.99</v>
      </c>
      <c r="S15" s="18">
        <v>48</v>
      </c>
      <c r="T15" s="33">
        <f t="shared" si="0"/>
        <v>574.08000000000004</v>
      </c>
      <c r="U15" s="34"/>
    </row>
    <row r="16" spans="2:21" s="27" customFormat="1" ht="49.9" customHeight="1" x14ac:dyDescent="0.25">
      <c r="B16" s="16"/>
      <c r="C16" s="1" t="s">
        <v>47</v>
      </c>
      <c r="D16" s="5" t="s">
        <v>31</v>
      </c>
      <c r="E16" s="4" t="s">
        <v>35</v>
      </c>
      <c r="F16" s="35" t="s">
        <v>37</v>
      </c>
      <c r="G16" s="36"/>
      <c r="H16" s="36"/>
      <c r="I16" s="37"/>
      <c r="J16" s="38" t="s">
        <v>28</v>
      </c>
      <c r="K16" s="39"/>
      <c r="L16" s="40"/>
      <c r="M16" s="35" t="s">
        <v>34</v>
      </c>
      <c r="N16" s="36"/>
      <c r="O16" s="36"/>
      <c r="P16" s="37"/>
      <c r="Q16" s="17">
        <v>11.96</v>
      </c>
      <c r="R16" s="25">
        <v>29.99</v>
      </c>
      <c r="S16" s="18">
        <v>60</v>
      </c>
      <c r="T16" s="33">
        <f t="shared" si="0"/>
        <v>717.6</v>
      </c>
      <c r="U16" s="34"/>
    </row>
    <row r="17" spans="2:21" s="27" customFormat="1" ht="49.9" customHeight="1" x14ac:dyDescent="0.25">
      <c r="B17" s="16"/>
      <c r="C17" s="1" t="s">
        <v>48</v>
      </c>
      <c r="D17" s="5" t="s">
        <v>23</v>
      </c>
      <c r="E17" s="4" t="s">
        <v>35</v>
      </c>
      <c r="F17" s="35" t="s">
        <v>38</v>
      </c>
      <c r="G17" s="36"/>
      <c r="H17" s="36"/>
      <c r="I17" s="37"/>
      <c r="J17" s="38" t="s">
        <v>28</v>
      </c>
      <c r="K17" s="39"/>
      <c r="L17" s="40"/>
      <c r="M17" s="35" t="s">
        <v>34</v>
      </c>
      <c r="N17" s="36"/>
      <c r="O17" s="36"/>
      <c r="P17" s="37"/>
      <c r="Q17" s="17">
        <v>11.96</v>
      </c>
      <c r="R17" s="25">
        <v>29.99</v>
      </c>
      <c r="S17" s="18">
        <v>60</v>
      </c>
      <c r="T17" s="41">
        <f t="shared" ref="T17" si="1">Q17*S17</f>
        <v>717.6</v>
      </c>
      <c r="U17" s="42"/>
    </row>
    <row r="18" spans="2:21" s="27" customFormat="1" ht="49.9" customHeight="1" x14ac:dyDescent="0.25">
      <c r="B18" s="19"/>
      <c r="C18" s="22" t="s">
        <v>49</v>
      </c>
      <c r="D18" s="5" t="s">
        <v>32</v>
      </c>
      <c r="E18" s="5" t="s">
        <v>42</v>
      </c>
      <c r="F18" s="35" t="s">
        <v>53</v>
      </c>
      <c r="G18" s="36"/>
      <c r="H18" s="36"/>
      <c r="I18" s="37"/>
      <c r="J18" s="38" t="s">
        <v>33</v>
      </c>
      <c r="K18" s="39"/>
      <c r="L18" s="40"/>
      <c r="M18" s="35" t="s">
        <v>34</v>
      </c>
      <c r="N18" s="36"/>
      <c r="O18" s="36"/>
      <c r="P18" s="37"/>
      <c r="Q18" s="20">
        <v>15.32</v>
      </c>
      <c r="R18" s="23">
        <v>39.99</v>
      </c>
      <c r="S18" s="21">
        <v>36</v>
      </c>
      <c r="T18" s="33">
        <f t="shared" ref="T18" si="2">Q18*S18</f>
        <v>551.52</v>
      </c>
      <c r="U18" s="34"/>
    </row>
    <row r="19" spans="2:21" s="27" customFormat="1" ht="49.9" customHeight="1" x14ac:dyDescent="0.25">
      <c r="B19" s="16"/>
      <c r="C19" s="22" t="s">
        <v>50</v>
      </c>
      <c r="D19" s="5" t="s">
        <v>24</v>
      </c>
      <c r="E19" s="5" t="s">
        <v>42</v>
      </c>
      <c r="F19" s="35" t="s">
        <v>54</v>
      </c>
      <c r="G19" s="36"/>
      <c r="H19" s="36"/>
      <c r="I19" s="37"/>
      <c r="J19" s="38" t="s">
        <v>33</v>
      </c>
      <c r="K19" s="39"/>
      <c r="L19" s="40"/>
      <c r="M19" s="35" t="s">
        <v>34</v>
      </c>
      <c r="N19" s="36"/>
      <c r="O19" s="36"/>
      <c r="P19" s="37"/>
      <c r="Q19" s="20">
        <v>15.32</v>
      </c>
      <c r="R19" s="23">
        <v>39.99</v>
      </c>
      <c r="S19" s="18">
        <v>36</v>
      </c>
      <c r="T19" s="33">
        <f t="shared" ref="T19:T21" si="3">Q19*S19</f>
        <v>551.52</v>
      </c>
      <c r="U19" s="34"/>
    </row>
    <row r="20" spans="2:21" s="27" customFormat="1" ht="49.9" customHeight="1" x14ac:dyDescent="0.25">
      <c r="B20" s="16"/>
      <c r="C20" s="22" t="s">
        <v>51</v>
      </c>
      <c r="D20" s="4" t="s">
        <v>32</v>
      </c>
      <c r="E20" s="5" t="s">
        <v>42</v>
      </c>
      <c r="F20" s="35" t="s">
        <v>53</v>
      </c>
      <c r="G20" s="36"/>
      <c r="H20" s="36"/>
      <c r="I20" s="37"/>
      <c r="J20" s="38" t="s">
        <v>28</v>
      </c>
      <c r="K20" s="39"/>
      <c r="L20" s="40"/>
      <c r="M20" s="35" t="s">
        <v>34</v>
      </c>
      <c r="N20" s="36"/>
      <c r="O20" s="36"/>
      <c r="P20" s="37"/>
      <c r="Q20" s="20">
        <v>15.32</v>
      </c>
      <c r="R20" s="23">
        <v>39.99</v>
      </c>
      <c r="S20" s="18">
        <v>36</v>
      </c>
      <c r="T20" s="33">
        <f t="shared" si="3"/>
        <v>551.52</v>
      </c>
      <c r="U20" s="34"/>
    </row>
    <row r="21" spans="2:21" s="27" customFormat="1" ht="49.9" customHeight="1" x14ac:dyDescent="0.25">
      <c r="B21" s="16"/>
      <c r="C21" s="22" t="s">
        <v>52</v>
      </c>
      <c r="D21" s="5" t="s">
        <v>24</v>
      </c>
      <c r="E21" s="5" t="s">
        <v>42</v>
      </c>
      <c r="F21" s="35" t="s">
        <v>54</v>
      </c>
      <c r="G21" s="36"/>
      <c r="H21" s="36"/>
      <c r="I21" s="37"/>
      <c r="J21" s="38" t="s">
        <v>28</v>
      </c>
      <c r="K21" s="39"/>
      <c r="L21" s="40"/>
      <c r="M21" s="35" t="s">
        <v>34</v>
      </c>
      <c r="N21" s="36"/>
      <c r="O21" s="36"/>
      <c r="P21" s="37"/>
      <c r="Q21" s="20">
        <v>15.32</v>
      </c>
      <c r="R21" s="23">
        <v>39.99</v>
      </c>
      <c r="S21" s="18">
        <v>36</v>
      </c>
      <c r="T21" s="33">
        <f t="shared" si="3"/>
        <v>551.52</v>
      </c>
      <c r="U21" s="34"/>
    </row>
    <row r="22" spans="2:21" s="27" customFormat="1" ht="3" customHeight="1" x14ac:dyDescent="0.25">
      <c r="B22" s="16"/>
      <c r="C22" s="1"/>
      <c r="D22" s="4"/>
      <c r="E22" s="4"/>
      <c r="F22" s="35"/>
      <c r="G22" s="36"/>
      <c r="H22" s="36"/>
      <c r="I22" s="37"/>
      <c r="J22" s="35"/>
      <c r="K22" s="36"/>
      <c r="L22" s="37"/>
      <c r="M22" s="35"/>
      <c r="N22" s="36"/>
      <c r="O22" s="36"/>
      <c r="P22" s="37"/>
      <c r="Q22" s="17"/>
      <c r="R22" s="24"/>
      <c r="S22" s="18"/>
      <c r="T22" s="33"/>
      <c r="U22" s="34"/>
    </row>
    <row r="23" spans="2:21" s="27" customFormat="1" x14ac:dyDescent="0.25">
      <c r="B23" s="46"/>
      <c r="C23" s="47"/>
      <c r="D23" s="48"/>
      <c r="E23" s="28"/>
      <c r="F23" s="54"/>
      <c r="G23" s="47"/>
      <c r="H23" s="47"/>
      <c r="I23" s="48"/>
      <c r="J23" s="54"/>
      <c r="K23" s="47"/>
      <c r="L23" s="48"/>
      <c r="M23" s="54"/>
      <c r="N23" s="47"/>
      <c r="O23" s="47"/>
      <c r="P23" s="48"/>
      <c r="Q23" s="29"/>
      <c r="R23" s="29"/>
      <c r="S23" s="30">
        <f>SUM(S12:S22)</f>
        <v>468</v>
      </c>
      <c r="T23" s="49">
        <f>SUM(T12:U22)</f>
        <v>6081.1200000000008</v>
      </c>
      <c r="U23" s="50"/>
    </row>
    <row r="24" spans="2:21" s="27" customFormat="1" ht="9" customHeight="1" thickBot="1" x14ac:dyDescent="0.3">
      <c r="B24" s="43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5"/>
    </row>
    <row r="25" spans="2:21" s="27" customFormat="1" x14ac:dyDescent="0.25">
      <c r="D25" s="31"/>
      <c r="E25" s="31"/>
    </row>
    <row r="26" spans="2:21" s="27" customFormat="1" x14ac:dyDescent="0.25">
      <c r="D26" s="31"/>
      <c r="E26" s="31"/>
      <c r="T26" s="32"/>
    </row>
  </sheetData>
  <mergeCells count="83">
    <mergeCell ref="B2:U2"/>
    <mergeCell ref="B8:C8"/>
    <mergeCell ref="C9:U9"/>
    <mergeCell ref="T22:U22"/>
    <mergeCell ref="F11:I11"/>
    <mergeCell ref="J11:L11"/>
    <mergeCell ref="I3:J3"/>
    <mergeCell ref="C3:H3"/>
    <mergeCell ref="K3:Q3"/>
    <mergeCell ref="S3:U3"/>
    <mergeCell ref="C4:E4"/>
    <mergeCell ref="F4:H4"/>
    <mergeCell ref="I4:Q4"/>
    <mergeCell ref="S4:U4"/>
    <mergeCell ref="C5:Q5"/>
    <mergeCell ref="T15:U15"/>
    <mergeCell ref="S5:U5"/>
    <mergeCell ref="G6:H6"/>
    <mergeCell ref="O6:U6"/>
    <mergeCell ref="I7:K7"/>
    <mergeCell ref="L7:U7"/>
    <mergeCell ref="I6:J6"/>
    <mergeCell ref="K6:M6"/>
    <mergeCell ref="C6:E6"/>
    <mergeCell ref="D8:E8"/>
    <mergeCell ref="D7:H7"/>
    <mergeCell ref="T13:U13"/>
    <mergeCell ref="T14:U14"/>
    <mergeCell ref="F10:I10"/>
    <mergeCell ref="F12:I12"/>
    <mergeCell ref="F13:I13"/>
    <mergeCell ref="F14:I14"/>
    <mergeCell ref="J10:L10"/>
    <mergeCell ref="T11:U11"/>
    <mergeCell ref="M11:P11"/>
    <mergeCell ref="T10:U10"/>
    <mergeCell ref="S8:U8"/>
    <mergeCell ref="B24:U24"/>
    <mergeCell ref="B23:D23"/>
    <mergeCell ref="T23:U23"/>
    <mergeCell ref="I8:Q8"/>
    <mergeCell ref="T12:U12"/>
    <mergeCell ref="F8:H8"/>
    <mergeCell ref="T16:U16"/>
    <mergeCell ref="J16:L16"/>
    <mergeCell ref="M23:P23"/>
    <mergeCell ref="F23:I23"/>
    <mergeCell ref="J23:L23"/>
    <mergeCell ref="M10:P10"/>
    <mergeCell ref="M12:P12"/>
    <mergeCell ref="M13:P13"/>
    <mergeCell ref="M14:P14"/>
    <mergeCell ref="F15:I15"/>
    <mergeCell ref="M15:P15"/>
    <mergeCell ref="M16:P16"/>
    <mergeCell ref="F16:I16"/>
    <mergeCell ref="J12:L12"/>
    <mergeCell ref="J13:L13"/>
    <mergeCell ref="J14:L14"/>
    <mergeCell ref="J15:L15"/>
    <mergeCell ref="T17:U17"/>
    <mergeCell ref="F19:I19"/>
    <mergeCell ref="J19:L19"/>
    <mergeCell ref="M19:P19"/>
    <mergeCell ref="T19:U19"/>
    <mergeCell ref="F18:I18"/>
    <mergeCell ref="J18:L18"/>
    <mergeCell ref="M18:P18"/>
    <mergeCell ref="T18:U18"/>
    <mergeCell ref="F17:I17"/>
    <mergeCell ref="J17:L17"/>
    <mergeCell ref="M17:P17"/>
    <mergeCell ref="F22:I22"/>
    <mergeCell ref="J22:L22"/>
    <mergeCell ref="M22:P22"/>
    <mergeCell ref="F21:I21"/>
    <mergeCell ref="J21:L21"/>
    <mergeCell ref="M21:P21"/>
    <mergeCell ref="T21:U21"/>
    <mergeCell ref="F20:I20"/>
    <mergeCell ref="J20:L20"/>
    <mergeCell ref="M20:P20"/>
    <mergeCell ref="T20:U20"/>
  </mergeCells>
  <phoneticPr fontId="1" type="noConversion"/>
  <hyperlinks>
    <hyperlink ref="D7" r:id="rId1" display="Financeiro@grupoxambre.com.br" xr:uid="{807FC0CC-B9E3-47CD-BD72-4CC8F7F47FC4}"/>
    <hyperlink ref="S5" r:id="rId2" xr:uid="{F0D625A5-EFCB-41EB-AB8D-DB4006B7A699}"/>
  </hyperlinks>
  <pageMargins left="0.511811024" right="0.511811024" top="0.78740157499999996" bottom="0.78740157499999996" header="0.31496062000000002" footer="0.31496062000000002"/>
  <pageSetup paperSize="9" scale="73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</dc:creator>
  <cp:lastModifiedBy>Camila Baccan</cp:lastModifiedBy>
  <cp:lastPrinted>2018-12-06T16:46:30Z</cp:lastPrinted>
  <dcterms:created xsi:type="dcterms:W3CDTF">2010-08-02T13:51:18Z</dcterms:created>
  <dcterms:modified xsi:type="dcterms:W3CDTF">2026-10-02T17:57:09Z</dcterms:modified>
</cp:coreProperties>
</file>