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mamericanense-my.sharepoint.com/personal/camila_baccan_mmamericanense_com_br/Documents/"/>
    </mc:Choice>
  </mc:AlternateContent>
  <xr:revisionPtr revIDLastSave="0" documentId="8_{5F52D82C-7423-42E0-94B6-15AF302629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3" r:id="rId1"/>
  </sheets>
  <definedNames>
    <definedName name="_xlnm._FilterDatabase" localSheetId="0" hidden="1">'1'!$B$10:$U$22</definedName>
  </definedNames>
  <calcPr calcId="191029" concurrentManualCount="1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3" l="1"/>
  <c r="S23" i="3"/>
  <c r="T22" i="3"/>
  <c r="T20" i="3"/>
  <c r="T18" i="3"/>
  <c r="T14" i="3"/>
  <c r="T12" i="3"/>
  <c r="T21" i="3"/>
  <c r="T19" i="3"/>
  <c r="T17" i="3"/>
  <c r="T16" i="3"/>
  <c r="T15" i="3"/>
  <c r="T13" i="3"/>
  <c r="T23" i="3" l="1"/>
  <c r="U23" i="3" s="1"/>
</calcChain>
</file>

<file path=xl/sharedStrings.xml><?xml version="1.0" encoding="utf-8"?>
<sst xmlns="http://schemas.openxmlformats.org/spreadsheetml/2006/main" count="181" uniqueCount="133">
  <si>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</si>
  <si>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</si>
  <si>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</si>
  <si>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</si>
  <si>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</si>
  <si>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</si>
  <si>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</si>
  <si>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</si>
  <si>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</si>
  <si>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</si>
  <si>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</si>
  <si>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</si>
  <si>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</si>
  <si>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</si>
  <si>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</si>
  <si>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 xml:space="preserve">OBSERVAÇÃO: 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</si>
  <si>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</si>
  <si>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</si>
  <si>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</si>
  <si>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</si>
  <si>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</si>
  <si>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</si>
  <si>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</si>
  <si>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</si>
  <si>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</si>
  <si>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002</t>
  </si>
  <si>
    <t>003</t>
  </si>
  <si>
    <t>Branco</t>
  </si>
  <si>
    <t>Preto</t>
  </si>
  <si>
    <t>Sortido (Branco, Mescla, Preto)</t>
  </si>
  <si>
    <t>DESCRIÇÃO COR</t>
  </si>
  <si>
    <t>DESCRIÇÃO PRODUTO</t>
  </si>
  <si>
    <t>TAMANHOS</t>
  </si>
  <si>
    <t>39 - 44</t>
  </si>
  <si>
    <t>OBS</t>
  </si>
  <si>
    <t>TOTAL Kits</t>
  </si>
  <si>
    <t>Produto atoalhado</t>
  </si>
  <si>
    <t>33 - 38</t>
  </si>
  <si>
    <t>Ordem de compra:</t>
  </si>
  <si>
    <r>
      <t xml:space="preserve">KIT CANO ALTO TENNIS STATION - </t>
    </r>
    <r>
      <rPr>
        <b/>
        <sz val="11"/>
        <color theme="1"/>
        <rFont val="Calibri"/>
        <family val="2"/>
        <scheme val="minor"/>
      </rPr>
      <t>3 PARES</t>
    </r>
  </si>
  <si>
    <t>52.671.393/0001-69</t>
  </si>
  <si>
    <t>43.809.318/0002-01</t>
  </si>
  <si>
    <t>60.707.676/0002-22</t>
  </si>
  <si>
    <t>60.707.676/0004-94</t>
  </si>
  <si>
    <t>65.797.706/0001-71</t>
  </si>
  <si>
    <t>65.797.706/0002-52</t>
  </si>
  <si>
    <t>65.797.706/0003-33</t>
  </si>
  <si>
    <t>43.809.318/0003-92</t>
  </si>
  <si>
    <t>52.671.393/0003-20</t>
  </si>
  <si>
    <t>52.671.393/0004-01</t>
  </si>
  <si>
    <t>09.099.519/0001-43</t>
  </si>
  <si>
    <t>60.707.676/0005-75</t>
  </si>
  <si>
    <t>52.671.393/0005-92</t>
  </si>
  <si>
    <t>60.707.676/0006-56</t>
  </si>
  <si>
    <t>52.671.393/0007-54</t>
  </si>
  <si>
    <t>43.809.318/0006-35</t>
  </si>
  <si>
    <t>65.797.706/0006-86</t>
  </si>
  <si>
    <t>52.671.393/0008-35</t>
  </si>
  <si>
    <t>65.797.706/0008-48</t>
  </si>
  <si>
    <t>52.671.393/0009-16</t>
  </si>
  <si>
    <t>09.530.553/0002-01</t>
  </si>
  <si>
    <t>18.835.419/0001-29</t>
  </si>
  <si>
    <t>18.636.170/0001-22</t>
  </si>
  <si>
    <t>24.536.946/0001-35</t>
  </si>
  <si>
    <t>24.536.946/0004-88</t>
  </si>
  <si>
    <t>26.148.765/0001-67</t>
  </si>
  <si>
    <t>11.129.377/0001-61</t>
  </si>
  <si>
    <t>09.530.553/0001-20</t>
  </si>
  <si>
    <t>09.530.553/0003-92</t>
  </si>
  <si>
    <t>09.530.553/0004-73</t>
  </si>
  <si>
    <t>18.835.419/0002-00</t>
  </si>
  <si>
    <t>18.835.419/0003-90</t>
  </si>
  <si>
    <t>60.707.676/0010-32</t>
  </si>
  <si>
    <t>24.536.946/0003-05</t>
  </si>
  <si>
    <t>11.129.377/0002-42</t>
  </si>
  <si>
    <t>11.129.377/0003-23</t>
  </si>
  <si>
    <t>43.809.318/0005-54</t>
  </si>
  <si>
    <t>43.809.318/0009-88</t>
  </si>
  <si>
    <t>65.797.706/0004-14</t>
  </si>
  <si>
    <t xml:space="preserve">CT </t>
  </si>
  <si>
    <t xml:space="preserve">NG </t>
  </si>
  <si>
    <t>GI</t>
  </si>
  <si>
    <t>GG</t>
  </si>
  <si>
    <t>YL</t>
  </si>
  <si>
    <t>YT</t>
  </si>
  <si>
    <t>YI</t>
  </si>
  <si>
    <t>NP</t>
  </si>
  <si>
    <t>CO</t>
  </si>
  <si>
    <t>CB</t>
  </si>
  <si>
    <t>ZE</t>
  </si>
  <si>
    <t>GS</t>
  </si>
  <si>
    <t>CI</t>
  </si>
  <si>
    <t>GT</t>
  </si>
  <si>
    <t>CA</t>
  </si>
  <si>
    <t>NU</t>
  </si>
  <si>
    <t>YU</t>
  </si>
  <si>
    <t>CI-3</t>
  </si>
  <si>
    <t>YI-2</t>
  </si>
  <si>
    <t>CA-2</t>
  </si>
  <si>
    <t>BG</t>
  </si>
  <si>
    <t>ET</t>
  </si>
  <si>
    <t>FB</t>
  </si>
  <si>
    <t>LC</t>
  </si>
  <si>
    <t>LS</t>
  </si>
  <si>
    <t>SA</t>
  </si>
  <si>
    <t>MI</t>
  </si>
  <si>
    <t>BT</t>
  </si>
  <si>
    <t>BM</t>
  </si>
  <si>
    <t>BI</t>
  </si>
  <si>
    <t>EB</t>
  </si>
  <si>
    <t>EC</t>
  </si>
  <si>
    <t>GG-2</t>
  </si>
  <si>
    <t>LN</t>
  </si>
  <si>
    <t>MM</t>
  </si>
  <si>
    <t>MT</t>
  </si>
  <si>
    <t>NC</t>
  </si>
  <si>
    <t>NB</t>
  </si>
  <si>
    <t>YG</t>
  </si>
  <si>
    <r>
      <t xml:space="preserve">KIT CANO CURTO TENNIS STATION - </t>
    </r>
    <r>
      <rPr>
        <b/>
        <sz val="11"/>
        <color theme="1"/>
        <rFont val="Calibri"/>
        <family val="2"/>
        <scheme val="minor"/>
      </rPr>
      <t xml:space="preserve"> 3 PARES</t>
    </r>
  </si>
  <si>
    <t>39-44</t>
  </si>
  <si>
    <t>K3ABCCIL1FTS</t>
  </si>
  <si>
    <t>K3ABCCIL1GTS</t>
  </si>
  <si>
    <t>K3ABCCIL2FTS</t>
  </si>
  <si>
    <t>K3ABCCIL2GTS</t>
  </si>
  <si>
    <t>K3ABCCIL11FTS</t>
  </si>
  <si>
    <t>K3ABCCIL11GTS</t>
  </si>
  <si>
    <t>K3CBCCIL1FTS</t>
  </si>
  <si>
    <t>K3CBCCIL1GTS</t>
  </si>
  <si>
    <t>K3CBCCIL2FTS</t>
  </si>
  <si>
    <t>K3CBCCIL2GTS</t>
  </si>
  <si>
    <t>K3CBCCIL11FTS</t>
  </si>
  <si>
    <t>K3CBCCIL11GTS</t>
  </si>
  <si>
    <t xml:space="preserve">52.671.393/0001-69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</si>
</sst>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6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48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u/>
      <sz val="11"/>
      <color theme="10"/>
      <name val="Calibri"/>
      <family val="2"/>
      <scheme val="minor"/>
    </font>
    <font>
      <b/>
      <u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 (Corpo)"/>
    </font>
    <font>
      <b/>
      <sz val="10"/>
      <color indexed="9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7" fillId="2" borderId="24" xfId="0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left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49" fontId="12" fillId="3" borderId="16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49" fontId="0" fillId="3" borderId="30" xfId="0" applyNumberFormat="1" applyFill="1" applyBorder="1" applyAlignment="1" applyProtection="1">
      <alignment horizontal="center" vertical="center" wrapText="1"/>
      <protection locked="0"/>
    </xf>
    <xf numFmtId="165" fontId="0" fillId="3" borderId="30" xfId="0" applyNumberFormat="1" applyFill="1" applyBorder="1" applyAlignment="1">
      <alignment horizontal="center" vertical="center" wrapText="1"/>
    </xf>
    <xf numFmtId="165" fontId="0" fillId="3" borderId="30" xfId="0" applyNumberFormat="1" applyFill="1" applyBorder="1" applyAlignment="1" applyProtection="1">
      <alignment horizontal="center" vertical="center" wrapText="1"/>
      <protection locked="0"/>
    </xf>
    <xf numFmtId="3" fontId="14" fillId="3" borderId="30" xfId="0" applyNumberFormat="1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49" fontId="0" fillId="3" borderId="33" xfId="0" applyNumberFormat="1" applyFill="1" applyBorder="1" applyAlignment="1" applyProtection="1">
      <alignment horizontal="center" vertical="center" wrapText="1"/>
      <protection locked="0"/>
    </xf>
    <xf numFmtId="165" fontId="0" fillId="3" borderId="33" xfId="0" applyNumberFormat="1" applyFill="1" applyBorder="1" applyAlignment="1">
      <alignment horizontal="center" vertical="center" wrapText="1"/>
    </xf>
    <xf numFmtId="165" fontId="0" fillId="3" borderId="33" xfId="0" applyNumberFormat="1" applyFill="1" applyBorder="1" applyAlignment="1" applyProtection="1">
      <alignment horizontal="center" vertical="center" wrapText="1"/>
      <protection locked="0"/>
    </xf>
    <xf numFmtId="3" fontId="14" fillId="3" borderId="33" xfId="0" applyNumberFormat="1" applyFont="1" applyFill="1" applyBorder="1" applyAlignment="1">
      <alignment horizontal="center" vertical="center" wrapText="1"/>
    </xf>
    <xf numFmtId="49" fontId="0" fillId="3" borderId="35" xfId="0" applyNumberFormat="1" applyFill="1" applyBorder="1" applyAlignment="1" applyProtection="1">
      <alignment horizontal="center" vertical="center" wrapText="1"/>
      <protection locked="0"/>
    </xf>
    <xf numFmtId="165" fontId="0" fillId="3" borderId="35" xfId="0" applyNumberFormat="1" applyFill="1" applyBorder="1" applyAlignment="1" applyProtection="1">
      <alignment horizontal="center" vertical="center" wrapText="1"/>
      <protection locked="0"/>
    </xf>
    <xf numFmtId="3" fontId="15" fillId="5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15" fillId="5" borderId="0" xfId="0" applyNumberFormat="1" applyFont="1" applyFill="1" applyAlignment="1">
      <alignment horizontal="center" vertical="center" wrapText="1"/>
    </xf>
    <xf numFmtId="164" fontId="14" fillId="3" borderId="20" xfId="1" applyFont="1" applyFill="1" applyBorder="1" applyAlignment="1">
      <alignment horizontal="center" vertical="center" wrapText="1"/>
    </xf>
    <xf numFmtId="164" fontId="14" fillId="3" borderId="3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14" fillId="3" borderId="34" xfId="1" applyFont="1" applyFill="1" applyBorder="1" applyAlignment="1">
      <alignment horizontal="center" vertical="center" wrapText="1"/>
    </xf>
    <xf numFmtId="164" fontId="14" fillId="3" borderId="7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4" fontId="12" fillId="3" borderId="17" xfId="1" applyFont="1" applyFill="1" applyBorder="1" applyAlignment="1">
      <alignment horizontal="center" vertical="center" wrapText="1"/>
    </xf>
    <xf numFmtId="164" fontId="12" fillId="3" borderId="11" xfId="1" applyFont="1" applyFill="1" applyBorder="1" applyAlignment="1">
      <alignment horizontal="center" vertical="center" wrapText="1"/>
    </xf>
    <xf numFmtId="164" fontId="12" fillId="3" borderId="23" xfId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1">
    <dxf>
      <fill>
        <patternFill>
          <fgColor theme="5" tint="0.59996337778862885"/>
          <bgColor theme="5" tint="0.599963377788628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129115</xdr:colOff>
      <xdr:row>1</xdr:row>
      <xdr:rowOff>55034</xdr:rowOff>
    </xdr:from>
    <xdr:to>
      <xdr:col>19</xdr:col>
      <xdr:colOff>762704</xdr:colOff>
      <xdr:row>1</xdr:row>
      <xdr:rowOff>838111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6497A9-0747-41F7-B45B-B6F88C256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6415" y="194734"/>
          <a:ext cx="2015067" cy="783077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16</xdr:row>
      <xdr:rowOff>63500</xdr:rowOff>
    </xdr:from>
    <xdr:to>
      <xdr:col>1</xdr:col>
      <xdr:colOff>765450</xdr:colOff>
      <xdr:row>16</xdr:row>
      <xdr:rowOff>592700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45B7A55-0EA5-A5A4-0965-A51D94ED8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533" y="646641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18</xdr:row>
      <xdr:rowOff>50800</xdr:rowOff>
    </xdr:from>
    <xdr:to>
      <xdr:col>1</xdr:col>
      <xdr:colOff>797200</xdr:colOff>
      <xdr:row>18</xdr:row>
      <xdr:rowOff>580000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F0EB548-FADD-2741-99D0-8B03036EA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10066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20</xdr:row>
      <xdr:rowOff>42334</xdr:rowOff>
    </xdr:from>
    <xdr:to>
      <xdr:col>1</xdr:col>
      <xdr:colOff>797200</xdr:colOff>
      <xdr:row>20</xdr:row>
      <xdr:rowOff>571534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F34F1F2-2A0E-9F48-BDFA-436AF9727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16416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232834</xdr:colOff>
      <xdr:row>10</xdr:row>
      <xdr:rowOff>40922</xdr:rowOff>
    </xdr:from>
    <xdr:to>
      <xdr:col>1</xdr:col>
      <xdr:colOff>826834</xdr:colOff>
      <xdr:row>10</xdr:row>
      <xdr:rowOff>570122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280368BA-B5F8-8D2E-3AD7-798CBB580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8612" y="12938478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220133</xdr:colOff>
      <xdr:row>12</xdr:row>
      <xdr:rowOff>62089</xdr:rowOff>
    </xdr:from>
    <xdr:to>
      <xdr:col>1</xdr:col>
      <xdr:colOff>814133</xdr:colOff>
      <xdr:row>12</xdr:row>
      <xdr:rowOff>591289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235F5A6D-06FD-FB5B-7C9A-910BCA086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216" y="13333589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237066</xdr:colOff>
      <xdr:row>14</xdr:row>
      <xdr:rowOff>53622</xdr:rowOff>
    </xdr:from>
    <xdr:to>
      <xdr:col>1</xdr:col>
      <xdr:colOff>831066</xdr:colOff>
      <xdr:row>14</xdr:row>
      <xdr:rowOff>582822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F50ACDB-7E61-5B3F-6825-04D8692E2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2844" y="14221178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273049</xdr:colOff>
      <xdr:row>15</xdr:row>
      <xdr:rowOff>32456</xdr:rowOff>
    </xdr:from>
    <xdr:to>
      <xdr:col>1</xdr:col>
      <xdr:colOff>867049</xdr:colOff>
      <xdr:row>15</xdr:row>
      <xdr:rowOff>561656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8F9B6FE-9C6C-B14A-AE93-8504FEF86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4132" y="5810956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469900</xdr:colOff>
      <xdr:row>1</xdr:row>
      <xdr:rowOff>38100</xdr:rowOff>
    </xdr:from>
    <xdr:to>
      <xdr:col>2</xdr:col>
      <xdr:colOff>2116</xdr:colOff>
      <xdr:row>1</xdr:row>
      <xdr:rowOff>797235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63E48D0-20C3-FD13-A97C-6B2A73CE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8500" y="177800"/>
          <a:ext cx="1346200" cy="759135"/>
        </a:xfrm>
        <a:prstGeom prst="rect">
          <a:avLst/>
        </a:prstGeom>
      </xdr:spPr>
    </xdr:pic>
    <xdr:clientData/>
  </xdr:twoCellAnchor>
  <xdr:twoCellAnchor editAs="oneCell">
    <xdr:from>
      <xdr:col>1</xdr:col>
      <xdr:colOff>211667</xdr:colOff>
      <xdr:row>11</xdr:row>
      <xdr:rowOff>31750</xdr:rowOff>
    </xdr:from>
    <xdr:to>
      <xdr:col>1</xdr:col>
      <xdr:colOff>805667</xdr:colOff>
      <xdr:row>11</xdr:row>
      <xdr:rowOff>560950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2126FA-3CCA-41DB-93CA-0C73325E6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750" y="331258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201083</xdr:colOff>
      <xdr:row>13</xdr:row>
      <xdr:rowOff>10583</xdr:rowOff>
    </xdr:from>
    <xdr:to>
      <xdr:col>1</xdr:col>
      <xdr:colOff>795083</xdr:colOff>
      <xdr:row>13</xdr:row>
      <xdr:rowOff>539783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63B7B86-4028-4B59-8667-17188FE24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166" y="454025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158750</xdr:colOff>
      <xdr:row>17</xdr:row>
      <xdr:rowOff>52917</xdr:rowOff>
    </xdr:from>
    <xdr:to>
      <xdr:col>1</xdr:col>
      <xdr:colOff>752750</xdr:colOff>
      <xdr:row>17</xdr:row>
      <xdr:rowOff>582117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B2F7030-C0FB-4E14-9B5F-C43DA3370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833" y="708025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232834</xdr:colOff>
      <xdr:row>19</xdr:row>
      <xdr:rowOff>74084</xdr:rowOff>
    </xdr:from>
    <xdr:to>
      <xdr:col>1</xdr:col>
      <xdr:colOff>826834</xdr:colOff>
      <xdr:row>19</xdr:row>
      <xdr:rowOff>603284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F2D22745-32EB-4DDC-B12C-92940EA1F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3917" y="8350251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211666</xdr:colOff>
      <xdr:row>21</xdr:row>
      <xdr:rowOff>42333</xdr:rowOff>
    </xdr:from>
    <xdr:to>
      <xdr:col>1</xdr:col>
      <xdr:colOff>805666</xdr:colOff>
      <xdr:row>21</xdr:row>
      <xdr:rowOff>571533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DF1D20BC-AA73-47D9-A914-E61C08C44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749" y="95673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BF1227-F316-B245-9EF5-E321F6864E78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bb18e442-8502-4bb3-bd93-ecd4b72577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J23"/>
  <sheetViews>
    <sheetView showGridLines="0" tabSelected="1" zoomScale="90" zoomScaleNormal="90" workbookViewId="0">
      <selection activeCell="D5" sqref="D5:Q5"/>
    </sheetView>
  </sheetViews>
  <sheetFormatPr defaultColWidth="8.85546875" defaultRowHeight="15" outlineLevelRow="1"/>
  <cols>
    <col min="1" max="1" width="3" style="1" customWidth="1"/>
    <col min="2" max="2" width="24" style="1" customWidth="1"/>
    <col min="3" max="3" width="10.7109375" style="1" bestFit="1" customWidth="1"/>
    <col min="4" max="4" width="15.28515625" style="2" bestFit="1" customWidth="1"/>
    <col min="5" max="5" width="24.28515625" style="2" customWidth="1"/>
    <col min="6" max="16" width="6.42578125" style="1" customWidth="1"/>
    <col min="17" max="17" width="13.28515625" style="1" bestFit="1" customWidth="1"/>
    <col min="18" max="18" width="17.7109375" style="1" bestFit="1" customWidth="1"/>
    <col min="19" max="19" width="17.28515625" style="1" bestFit="1" customWidth="1"/>
    <col min="20" max="20" width="19.5703125" style="1" bestFit="1" customWidth="1"/>
    <col min="21" max="22" width="0.140625" style="1" customWidth="1"/>
    <col min="23" max="23" width="4.85546875" style="1" customWidth="1"/>
    <col min="24" max="62" width="9.42578125" style="1" customWidth="1"/>
    <col min="63" max="16384" width="8.85546875" style="1"/>
  </cols>
  <sheetData>
    <row r="1" spans="2:62" ht="11.25" customHeight="1" thickBot="1"/>
    <row r="2" spans="2:62" ht="68.25" customHeight="1" thickBot="1">
      <c r="B2" s="85"/>
      <c r="C2" s="86"/>
      <c r="D2" s="87"/>
      <c r="E2" s="8" t="s">
        <v>38</v>
      </c>
      <c r="F2" s="78"/>
      <c r="G2" s="78"/>
      <c r="H2" s="78"/>
      <c r="I2" s="79"/>
      <c r="J2" s="6"/>
      <c r="K2" s="6"/>
      <c r="L2" s="6"/>
      <c r="M2" s="6"/>
      <c r="N2" s="6"/>
      <c r="O2" s="6"/>
      <c r="P2" s="6"/>
      <c r="Q2" s="6"/>
      <c r="R2" s="6"/>
      <c r="S2" s="75"/>
      <c r="T2" s="76"/>
      <c r="U2" s="77"/>
    </row>
    <row r="3" spans="2:62" ht="14.1" customHeight="1" outlineLevel="1">
      <c r="B3" s="63" t="s">
        <v>19</v>
      </c>
      <c r="C3" s="64"/>
      <c r="D3" s="83"/>
      <c r="E3" s="84"/>
      <c r="F3" s="84"/>
      <c r="G3" s="84"/>
      <c r="H3" s="64"/>
      <c r="I3" s="88" t="s">
        <v>7</v>
      </c>
      <c r="J3" s="89"/>
      <c r="K3" s="90"/>
      <c r="L3" s="90"/>
      <c r="M3" s="90"/>
      <c r="N3" s="90"/>
      <c r="O3" s="90"/>
      <c r="P3" s="90"/>
      <c r="Q3" s="90"/>
      <c r="R3" s="7" t="s">
        <v>2</v>
      </c>
      <c r="S3" s="91"/>
      <c r="T3" s="91"/>
      <c r="U3" s="92"/>
    </row>
    <row r="4" spans="2:62" ht="14.1" customHeight="1" outlineLevel="1">
      <c r="B4" s="74" t="s">
        <v>3</v>
      </c>
      <c r="C4" s="73"/>
      <c r="D4" s="44" t="s">
        <v>132</v>
      </c>
      <c r="E4" s="45"/>
      <c r="F4" s="45"/>
      <c r="G4" s="45"/>
      <c r="H4" s="73"/>
      <c r="I4" s="80" t="s">
        <v>20</v>
      </c>
      <c r="J4" s="81"/>
      <c r="K4" s="44"/>
      <c r="L4" s="45"/>
      <c r="M4" s="45"/>
      <c r="N4" s="45"/>
      <c r="O4" s="45"/>
      <c r="P4" s="45"/>
      <c r="Q4" s="73"/>
      <c r="R4" s="3" t="s">
        <v>9</v>
      </c>
      <c r="S4" s="44"/>
      <c r="T4" s="45"/>
      <c r="U4" s="71"/>
    </row>
    <row r="5" spans="2:62" ht="14.1" customHeight="1" outlineLevel="1">
      <c r="B5" s="82" t="s">
        <v>4</v>
      </c>
      <c r="C5" s="43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73"/>
      <c r="R5" s="3" t="s">
        <v>14</v>
      </c>
      <c r="S5" s="70"/>
      <c r="T5" s="45"/>
      <c r="U5" s="71"/>
    </row>
    <row r="6" spans="2:62" ht="14.1" customHeight="1" outlineLevel="1">
      <c r="B6" s="82" t="s">
        <v>5</v>
      </c>
      <c r="C6" s="43"/>
      <c r="D6" s="45"/>
      <c r="E6" s="73"/>
      <c r="F6" s="3" t="s">
        <v>6</v>
      </c>
      <c r="G6" s="43"/>
      <c r="H6" s="43"/>
      <c r="I6" s="44" t="s">
        <v>12</v>
      </c>
      <c r="J6" s="45"/>
      <c r="K6" s="44"/>
      <c r="L6" s="45"/>
      <c r="M6" s="45"/>
      <c r="N6" s="45"/>
      <c r="O6" s="4" t="s">
        <v>10</v>
      </c>
      <c r="P6" s="43"/>
      <c r="Q6" s="43"/>
      <c r="R6" s="12"/>
      <c r="S6" s="12"/>
      <c r="T6" s="12"/>
      <c r="U6" s="13"/>
    </row>
    <row r="7" spans="2:62" ht="14.1" customHeight="1" outlineLevel="1">
      <c r="B7" s="74" t="s">
        <v>11</v>
      </c>
      <c r="C7" s="73"/>
      <c r="D7" s="44"/>
      <c r="E7" s="45"/>
      <c r="F7" s="45"/>
      <c r="G7" s="45"/>
      <c r="H7" s="73"/>
      <c r="I7" s="44" t="s">
        <v>1</v>
      </c>
      <c r="J7" s="45"/>
      <c r="K7" s="45"/>
      <c r="L7" s="43"/>
      <c r="M7" s="43"/>
      <c r="N7" s="43"/>
      <c r="O7" s="43"/>
      <c r="P7" s="43"/>
      <c r="Q7" s="43"/>
      <c r="R7" s="43"/>
      <c r="S7" s="43"/>
      <c r="T7" s="43"/>
      <c r="U7" s="72"/>
      <c r="X7" s="33" t="s">
        <v>40</v>
      </c>
      <c r="Y7" s="33" t="s">
        <v>41</v>
      </c>
      <c r="Z7" s="33" t="s">
        <v>42</v>
      </c>
      <c r="AA7" s="33" t="s">
        <v>43</v>
      </c>
      <c r="AB7" s="33" t="s">
        <v>44</v>
      </c>
      <c r="AC7" s="33" t="s">
        <v>45</v>
      </c>
      <c r="AD7" s="33" t="s">
        <v>46</v>
      </c>
      <c r="AE7" s="33" t="s">
        <v>47</v>
      </c>
      <c r="AF7" s="33" t="s">
        <v>48</v>
      </c>
      <c r="AG7" s="33" t="s">
        <v>49</v>
      </c>
      <c r="AH7" s="33" t="s">
        <v>50</v>
      </c>
      <c r="AI7" s="33" t="s">
        <v>51</v>
      </c>
      <c r="AJ7" s="33" t="s">
        <v>52</v>
      </c>
      <c r="AK7" s="33" t="s">
        <v>53</v>
      </c>
      <c r="AL7" s="33" t="s">
        <v>54</v>
      </c>
      <c r="AM7" s="33" t="s">
        <v>55</v>
      </c>
      <c r="AN7" s="33" t="s">
        <v>56</v>
      </c>
      <c r="AO7" s="33" t="s">
        <v>57</v>
      </c>
      <c r="AP7" s="33" t="s">
        <v>58</v>
      </c>
      <c r="AQ7" s="33" t="s">
        <v>59</v>
      </c>
      <c r="AR7" s="33" t="s">
        <v>60</v>
      </c>
      <c r="AS7" s="33" t="s">
        <v>61</v>
      </c>
      <c r="AT7" s="33" t="s">
        <v>62</v>
      </c>
      <c r="AU7" s="33" t="s">
        <v>63</v>
      </c>
      <c r="AV7" s="33" t="s">
        <v>64</v>
      </c>
      <c r="AW7" s="33" t="s">
        <v>65</v>
      </c>
      <c r="AX7" s="33" t="s">
        <v>66</v>
      </c>
      <c r="AY7" s="33" t="s">
        <v>67</v>
      </c>
      <c r="AZ7" s="33" t="s">
        <v>68</v>
      </c>
      <c r="BA7" s="33" t="s">
        <v>69</v>
      </c>
      <c r="BB7" s="33" t="s">
        <v>70</v>
      </c>
      <c r="BC7" s="33" t="s">
        <v>71</v>
      </c>
      <c r="BD7" s="33" t="s">
        <v>72</v>
      </c>
      <c r="BE7" s="33" t="s">
        <v>73</v>
      </c>
      <c r="BF7" s="33" t="s">
        <v>74</v>
      </c>
      <c r="BG7" s="33" t="s">
        <v>75</v>
      </c>
      <c r="BH7" s="33" t="s">
        <v>76</v>
      </c>
      <c r="BI7" s="33" t="s">
        <v>77</v>
      </c>
      <c r="BJ7" s="33" t="s">
        <v>78</v>
      </c>
    </row>
    <row r="8" spans="2:62" ht="14.1" customHeight="1" outlineLevel="1">
      <c r="B8" s="74" t="s">
        <v>13</v>
      </c>
      <c r="C8" s="73"/>
      <c r="D8" s="44"/>
      <c r="E8" s="45"/>
      <c r="F8" s="44" t="s">
        <v>21</v>
      </c>
      <c r="G8" s="45"/>
      <c r="H8" s="45"/>
      <c r="I8" s="43"/>
      <c r="J8" s="43"/>
      <c r="K8" s="43"/>
      <c r="L8" s="43"/>
      <c r="M8" s="43"/>
      <c r="N8" s="43"/>
      <c r="O8" s="43"/>
      <c r="P8" s="43"/>
      <c r="Q8" s="43"/>
      <c r="R8" s="3" t="s">
        <v>8</v>
      </c>
      <c r="S8" s="36"/>
      <c r="T8" s="37"/>
      <c r="U8" s="38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</row>
    <row r="9" spans="2:62" ht="27.95" customHeight="1" thickBot="1">
      <c r="B9" s="68" t="s">
        <v>15</v>
      </c>
      <c r="C9" s="6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0"/>
      <c r="X9" s="14" t="s">
        <v>79</v>
      </c>
      <c r="Y9" s="14" t="s">
        <v>80</v>
      </c>
      <c r="Z9" s="14" t="s">
        <v>81</v>
      </c>
      <c r="AA9" s="14" t="s">
        <v>82</v>
      </c>
      <c r="AB9" s="14" t="s">
        <v>83</v>
      </c>
      <c r="AC9" s="14" t="s">
        <v>84</v>
      </c>
      <c r="AD9" s="14" t="s">
        <v>85</v>
      </c>
      <c r="AE9" s="14" t="s">
        <v>86</v>
      </c>
      <c r="AF9" s="14" t="s">
        <v>87</v>
      </c>
      <c r="AG9" s="14" t="s">
        <v>88</v>
      </c>
      <c r="AH9" s="14" t="s">
        <v>89</v>
      </c>
      <c r="AI9" s="14" t="s">
        <v>90</v>
      </c>
      <c r="AJ9" s="14" t="s">
        <v>91</v>
      </c>
      <c r="AK9" s="14" t="s">
        <v>92</v>
      </c>
      <c r="AL9" s="14" t="s">
        <v>93</v>
      </c>
      <c r="AM9" s="14" t="s">
        <v>94</v>
      </c>
      <c r="AN9" s="14" t="s">
        <v>95</v>
      </c>
      <c r="AO9" s="14" t="s">
        <v>96</v>
      </c>
      <c r="AP9" s="14" t="s">
        <v>97</v>
      </c>
      <c r="AQ9" s="14" t="s">
        <v>98</v>
      </c>
      <c r="AR9" s="14" t="s">
        <v>99</v>
      </c>
      <c r="AS9" s="14" t="s">
        <v>100</v>
      </c>
      <c r="AT9" s="14" t="s">
        <v>101</v>
      </c>
      <c r="AU9" s="14" t="s">
        <v>102</v>
      </c>
      <c r="AV9" s="14" t="s">
        <v>103</v>
      </c>
      <c r="AW9" s="14" t="s">
        <v>104</v>
      </c>
      <c r="AX9" s="14" t="s">
        <v>105</v>
      </c>
      <c r="AY9" s="14" t="s">
        <v>106</v>
      </c>
      <c r="AZ9" s="14" t="s">
        <v>107</v>
      </c>
      <c r="BA9" s="14" t="s">
        <v>108</v>
      </c>
      <c r="BB9" s="14" t="s">
        <v>109</v>
      </c>
      <c r="BC9" s="14" t="s">
        <v>110</v>
      </c>
      <c r="BD9" s="14" t="s">
        <v>111</v>
      </c>
      <c r="BE9" s="14" t="s">
        <v>112</v>
      </c>
      <c r="BF9" s="14" t="s">
        <v>113</v>
      </c>
      <c r="BG9" s="14" t="s">
        <v>114</v>
      </c>
      <c r="BH9" s="14" t="s">
        <v>115</v>
      </c>
      <c r="BI9" s="14" t="s">
        <v>116</v>
      </c>
      <c r="BJ9" s="14" t="s">
        <v>117</v>
      </c>
    </row>
    <row r="10" spans="2:62" ht="21.95" customHeight="1" thickBot="1">
      <c r="B10" s="9" t="s">
        <v>16</v>
      </c>
      <c r="C10" s="10" t="s">
        <v>17</v>
      </c>
      <c r="D10" s="11" t="s">
        <v>18</v>
      </c>
      <c r="E10" s="11" t="s">
        <v>31</v>
      </c>
      <c r="F10" s="34" t="s">
        <v>30</v>
      </c>
      <c r="G10" s="49"/>
      <c r="H10" s="49"/>
      <c r="I10" s="50"/>
      <c r="J10" s="65" t="s">
        <v>32</v>
      </c>
      <c r="K10" s="66"/>
      <c r="L10" s="67"/>
      <c r="M10" s="34" t="s">
        <v>34</v>
      </c>
      <c r="N10" s="49"/>
      <c r="O10" s="49"/>
      <c r="P10" s="50"/>
      <c r="Q10" s="10" t="s">
        <v>0</v>
      </c>
      <c r="R10" s="10" t="s">
        <v>22</v>
      </c>
      <c r="S10" s="10" t="s">
        <v>35</v>
      </c>
      <c r="T10" s="34" t="s">
        <v>23</v>
      </c>
      <c r="U10" s="35"/>
    </row>
    <row r="11" spans="2:62" ht="50.1" customHeight="1" thickBot="1">
      <c r="B11" s="16"/>
      <c r="C11" s="93" t="s">
        <v>120</v>
      </c>
      <c r="D11" s="17" t="s">
        <v>24</v>
      </c>
      <c r="E11" s="17" t="s">
        <v>118</v>
      </c>
      <c r="F11" s="57" t="s">
        <v>27</v>
      </c>
      <c r="G11" s="58"/>
      <c r="H11" s="58"/>
      <c r="I11" s="59"/>
      <c r="J11" s="57" t="s">
        <v>37</v>
      </c>
      <c r="K11" s="58"/>
      <c r="L11" s="59"/>
      <c r="M11" s="60" t="s">
        <v>36</v>
      </c>
      <c r="N11" s="61"/>
      <c r="O11" s="61"/>
      <c r="P11" s="62"/>
      <c r="Q11" s="18">
        <v>12.18</v>
      </c>
      <c r="R11" s="19">
        <v>29.99</v>
      </c>
      <c r="S11" s="20">
        <v>800</v>
      </c>
      <c r="T11" s="31">
        <f t="shared" ref="T11:T22" si="0">Q11*S11</f>
        <v>9744</v>
      </c>
      <c r="U11" s="32"/>
      <c r="W11" s="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spans="2:62" ht="50.1" customHeight="1" thickBot="1">
      <c r="B12" s="21"/>
      <c r="C12" s="93" t="s">
        <v>121</v>
      </c>
      <c r="D12" s="22" t="s">
        <v>24</v>
      </c>
      <c r="E12" s="22" t="s">
        <v>118</v>
      </c>
      <c r="F12" s="51" t="s">
        <v>27</v>
      </c>
      <c r="G12" s="52"/>
      <c r="H12" s="52"/>
      <c r="I12" s="53"/>
      <c r="J12" s="51" t="s">
        <v>119</v>
      </c>
      <c r="K12" s="52"/>
      <c r="L12" s="53"/>
      <c r="M12" s="54" t="s">
        <v>36</v>
      </c>
      <c r="N12" s="55"/>
      <c r="O12" s="55"/>
      <c r="P12" s="56"/>
      <c r="Q12" s="18">
        <v>12.18</v>
      </c>
      <c r="R12" s="24">
        <v>29.99</v>
      </c>
      <c r="S12" s="25">
        <v>400</v>
      </c>
      <c r="T12" s="41">
        <f t="shared" si="0"/>
        <v>4872</v>
      </c>
      <c r="U12" s="42"/>
      <c r="W12" s="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2:62" ht="50.1" customHeight="1">
      <c r="B13" s="16"/>
      <c r="C13" s="93" t="s">
        <v>122</v>
      </c>
      <c r="D13" s="17" t="s">
        <v>25</v>
      </c>
      <c r="E13" s="17" t="s">
        <v>118</v>
      </c>
      <c r="F13" s="57" t="s">
        <v>28</v>
      </c>
      <c r="G13" s="58"/>
      <c r="H13" s="58"/>
      <c r="I13" s="59"/>
      <c r="J13" s="57" t="s">
        <v>37</v>
      </c>
      <c r="K13" s="58"/>
      <c r="L13" s="59"/>
      <c r="M13" s="60" t="s">
        <v>36</v>
      </c>
      <c r="N13" s="61"/>
      <c r="O13" s="61"/>
      <c r="P13" s="62"/>
      <c r="Q13" s="18">
        <v>12.18</v>
      </c>
      <c r="R13" s="19">
        <v>29.99</v>
      </c>
      <c r="S13" s="20">
        <v>800</v>
      </c>
      <c r="T13" s="31">
        <f t="shared" si="0"/>
        <v>9744</v>
      </c>
      <c r="U13" s="32"/>
      <c r="W13" s="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</row>
    <row r="14" spans="2:62" ht="50.1" customHeight="1" thickBot="1">
      <c r="B14" s="21"/>
      <c r="C14" s="93" t="s">
        <v>123</v>
      </c>
      <c r="D14" s="26" t="s">
        <v>25</v>
      </c>
      <c r="E14" s="22" t="s">
        <v>118</v>
      </c>
      <c r="F14" s="51" t="s">
        <v>28</v>
      </c>
      <c r="G14" s="52"/>
      <c r="H14" s="52"/>
      <c r="I14" s="53"/>
      <c r="J14" s="51" t="s">
        <v>33</v>
      </c>
      <c r="K14" s="52"/>
      <c r="L14" s="53"/>
      <c r="M14" s="54" t="s">
        <v>36</v>
      </c>
      <c r="N14" s="55"/>
      <c r="O14" s="55"/>
      <c r="P14" s="56"/>
      <c r="Q14" s="23">
        <v>12.18</v>
      </c>
      <c r="R14" s="24">
        <v>29.99</v>
      </c>
      <c r="S14" s="25">
        <v>400</v>
      </c>
      <c r="T14" s="41">
        <f t="shared" si="0"/>
        <v>4872</v>
      </c>
      <c r="U14" s="42"/>
      <c r="W14" s="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2:62" ht="50.1" customHeight="1">
      <c r="B15" s="16"/>
      <c r="C15" s="93" t="s">
        <v>124</v>
      </c>
      <c r="D15" s="17" t="s">
        <v>26</v>
      </c>
      <c r="E15" s="17" t="s">
        <v>118</v>
      </c>
      <c r="F15" s="57" t="s">
        <v>29</v>
      </c>
      <c r="G15" s="58"/>
      <c r="H15" s="58"/>
      <c r="I15" s="59"/>
      <c r="J15" s="57" t="s">
        <v>37</v>
      </c>
      <c r="K15" s="58"/>
      <c r="L15" s="59"/>
      <c r="M15" s="60" t="s">
        <v>36</v>
      </c>
      <c r="N15" s="61"/>
      <c r="O15" s="61"/>
      <c r="P15" s="62"/>
      <c r="Q15" s="18">
        <v>12.18</v>
      </c>
      <c r="R15" s="19">
        <v>29.99</v>
      </c>
      <c r="S15" s="20">
        <v>600</v>
      </c>
      <c r="T15" s="31">
        <f t="shared" si="0"/>
        <v>7308</v>
      </c>
      <c r="U15" s="32"/>
      <c r="W15" s="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</row>
    <row r="16" spans="2:62" ht="50.1" customHeight="1" thickBot="1">
      <c r="B16" s="21"/>
      <c r="C16" s="93" t="s">
        <v>125</v>
      </c>
      <c r="D16" s="22" t="s">
        <v>26</v>
      </c>
      <c r="E16" s="22" t="s">
        <v>118</v>
      </c>
      <c r="F16" s="51" t="s">
        <v>29</v>
      </c>
      <c r="G16" s="52"/>
      <c r="H16" s="52"/>
      <c r="I16" s="53"/>
      <c r="J16" s="51" t="s">
        <v>33</v>
      </c>
      <c r="K16" s="52"/>
      <c r="L16" s="53"/>
      <c r="M16" s="54" t="s">
        <v>36</v>
      </c>
      <c r="N16" s="55"/>
      <c r="O16" s="55"/>
      <c r="P16" s="56"/>
      <c r="Q16" s="23">
        <v>12.18</v>
      </c>
      <c r="R16" s="24">
        <v>29.99</v>
      </c>
      <c r="S16" s="25">
        <v>300</v>
      </c>
      <c r="T16" s="41">
        <f t="shared" si="0"/>
        <v>3654</v>
      </c>
      <c r="U16" s="42"/>
      <c r="W16" s="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2:62" ht="50.1" customHeight="1">
      <c r="B17" s="16"/>
      <c r="C17" s="93" t="s">
        <v>126</v>
      </c>
      <c r="D17" s="17" t="s">
        <v>24</v>
      </c>
      <c r="E17" s="17" t="s">
        <v>39</v>
      </c>
      <c r="F17" s="57" t="s">
        <v>27</v>
      </c>
      <c r="G17" s="58"/>
      <c r="H17" s="58"/>
      <c r="I17" s="59"/>
      <c r="J17" s="57" t="s">
        <v>37</v>
      </c>
      <c r="K17" s="58"/>
      <c r="L17" s="59"/>
      <c r="M17" s="60" t="s">
        <v>36</v>
      </c>
      <c r="N17" s="61"/>
      <c r="O17" s="61"/>
      <c r="P17" s="62"/>
      <c r="Q17" s="18">
        <v>16.809999999999999</v>
      </c>
      <c r="R17" s="19">
        <v>39.99</v>
      </c>
      <c r="S17" s="20">
        <v>900</v>
      </c>
      <c r="T17" s="31">
        <f t="shared" si="0"/>
        <v>15128.999999999998</v>
      </c>
      <c r="U17" s="32"/>
      <c r="W17" s="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spans="2:62" ht="50.1" customHeight="1" thickBot="1">
      <c r="B18" s="21"/>
      <c r="C18" s="93" t="s">
        <v>127</v>
      </c>
      <c r="D18" s="22" t="s">
        <v>24</v>
      </c>
      <c r="E18" s="22" t="s">
        <v>39</v>
      </c>
      <c r="F18" s="46" t="s">
        <v>27</v>
      </c>
      <c r="G18" s="47"/>
      <c r="H18" s="47"/>
      <c r="I18" s="48"/>
      <c r="J18" s="51" t="s">
        <v>33</v>
      </c>
      <c r="K18" s="52"/>
      <c r="L18" s="53"/>
      <c r="M18" s="54" t="s">
        <v>36</v>
      </c>
      <c r="N18" s="55"/>
      <c r="O18" s="55"/>
      <c r="P18" s="56"/>
      <c r="Q18" s="23">
        <v>16.809999999999999</v>
      </c>
      <c r="R18" s="27">
        <v>39.99</v>
      </c>
      <c r="S18" s="25">
        <v>900</v>
      </c>
      <c r="T18" s="41">
        <f t="shared" si="0"/>
        <v>15128.999999999998</v>
      </c>
      <c r="U18" s="42"/>
      <c r="W18" s="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</row>
    <row r="19" spans="2:62" ht="50.1" customHeight="1">
      <c r="B19" s="16"/>
      <c r="C19" s="93" t="s">
        <v>128</v>
      </c>
      <c r="D19" s="17" t="s">
        <v>25</v>
      </c>
      <c r="E19" s="17" t="s">
        <v>39</v>
      </c>
      <c r="F19" s="57" t="s">
        <v>28</v>
      </c>
      <c r="G19" s="58"/>
      <c r="H19" s="58"/>
      <c r="I19" s="59"/>
      <c r="J19" s="57" t="s">
        <v>37</v>
      </c>
      <c r="K19" s="58"/>
      <c r="L19" s="59"/>
      <c r="M19" s="60" t="s">
        <v>36</v>
      </c>
      <c r="N19" s="61"/>
      <c r="O19" s="61"/>
      <c r="P19" s="62"/>
      <c r="Q19" s="18">
        <v>16.809999999999999</v>
      </c>
      <c r="R19" s="19">
        <v>39.99</v>
      </c>
      <c r="S19" s="20">
        <v>900</v>
      </c>
      <c r="T19" s="31">
        <f t="shared" si="0"/>
        <v>15128.999999999998</v>
      </c>
      <c r="U19" s="32"/>
      <c r="W19" s="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</row>
    <row r="20" spans="2:62" ht="50.1" customHeight="1" thickBot="1">
      <c r="B20" s="21"/>
      <c r="C20" s="93" t="s">
        <v>129</v>
      </c>
      <c r="D20" s="26" t="s">
        <v>25</v>
      </c>
      <c r="E20" s="22" t="s">
        <v>39</v>
      </c>
      <c r="F20" s="51" t="s">
        <v>28</v>
      </c>
      <c r="G20" s="52"/>
      <c r="H20" s="52"/>
      <c r="I20" s="53"/>
      <c r="J20" s="51" t="s">
        <v>33</v>
      </c>
      <c r="K20" s="52"/>
      <c r="L20" s="53"/>
      <c r="M20" s="54" t="s">
        <v>36</v>
      </c>
      <c r="N20" s="55"/>
      <c r="O20" s="55"/>
      <c r="P20" s="56"/>
      <c r="Q20" s="23">
        <v>16.809999999999999</v>
      </c>
      <c r="R20" s="27">
        <v>39.99</v>
      </c>
      <c r="S20" s="25">
        <v>900</v>
      </c>
      <c r="T20" s="41">
        <f t="shared" si="0"/>
        <v>15128.999999999998</v>
      </c>
      <c r="U20" s="42"/>
      <c r="W20" s="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2:62" ht="50.1" customHeight="1">
      <c r="B21" s="16"/>
      <c r="C21" s="93" t="s">
        <v>130</v>
      </c>
      <c r="D21" s="17" t="s">
        <v>26</v>
      </c>
      <c r="E21" s="17" t="s">
        <v>39</v>
      </c>
      <c r="F21" s="57" t="s">
        <v>29</v>
      </c>
      <c r="G21" s="58"/>
      <c r="H21" s="58"/>
      <c r="I21" s="59"/>
      <c r="J21" s="57" t="s">
        <v>37</v>
      </c>
      <c r="K21" s="58"/>
      <c r="L21" s="59"/>
      <c r="M21" s="60" t="s">
        <v>36</v>
      </c>
      <c r="N21" s="61"/>
      <c r="O21" s="61"/>
      <c r="P21" s="62"/>
      <c r="Q21" s="18">
        <v>16.809999999999999</v>
      </c>
      <c r="R21" s="19">
        <v>39.99</v>
      </c>
      <c r="S21" s="20">
        <v>600</v>
      </c>
      <c r="T21" s="31">
        <f t="shared" si="0"/>
        <v>10086</v>
      </c>
      <c r="U21" s="32"/>
      <c r="W21" s="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</row>
    <row r="22" spans="2:62" ht="50.1" customHeight="1" thickBot="1">
      <c r="B22" s="21"/>
      <c r="C22" s="93" t="s">
        <v>131</v>
      </c>
      <c r="D22" s="26" t="s">
        <v>26</v>
      </c>
      <c r="E22" s="22" t="s">
        <v>39</v>
      </c>
      <c r="F22" s="51" t="s">
        <v>29</v>
      </c>
      <c r="G22" s="52"/>
      <c r="H22" s="52"/>
      <c r="I22" s="53"/>
      <c r="J22" s="51" t="s">
        <v>33</v>
      </c>
      <c r="K22" s="52"/>
      <c r="L22" s="53"/>
      <c r="M22" s="54" t="s">
        <v>36</v>
      </c>
      <c r="N22" s="55"/>
      <c r="O22" s="55"/>
      <c r="P22" s="56"/>
      <c r="Q22" s="23">
        <v>16.809999999999999</v>
      </c>
      <c r="R22" s="27">
        <v>39.99</v>
      </c>
      <c r="S22" s="25">
        <v>600</v>
      </c>
      <c r="T22" s="41">
        <f t="shared" si="0"/>
        <v>10086</v>
      </c>
      <c r="U22" s="42"/>
      <c r="W22" s="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</row>
    <row r="23" spans="2:62" ht="18.75">
      <c r="S23" s="28">
        <f>SUM(S11:S22)</f>
        <v>8100</v>
      </c>
      <c r="T23" s="30">
        <f>SUM(T11:T22)</f>
        <v>120882</v>
      </c>
      <c r="U23" s="29">
        <f>SUM(T23)</f>
        <v>120882</v>
      </c>
    </row>
  </sheetData>
  <autoFilter ref="B10:U22" xr:uid="{00000000-0001-0000-0000-000000000000}">
    <filterColumn colId="4" showButton="0"/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3" showButton="0"/>
    <filterColumn colId="18" showButton="0"/>
  </autoFilter>
  <mergeCells count="124">
    <mergeCell ref="M12:P12"/>
    <mergeCell ref="T12:U12"/>
    <mergeCell ref="F14:I14"/>
    <mergeCell ref="J14:L14"/>
    <mergeCell ref="M14:P14"/>
    <mergeCell ref="T14:U14"/>
    <mergeCell ref="S2:U2"/>
    <mergeCell ref="F2:I2"/>
    <mergeCell ref="B4:C4"/>
    <mergeCell ref="I4:J4"/>
    <mergeCell ref="K4:Q4"/>
    <mergeCell ref="D4:H4"/>
    <mergeCell ref="B5:C5"/>
    <mergeCell ref="D5:Q5"/>
    <mergeCell ref="B6:C6"/>
    <mergeCell ref="D3:H3"/>
    <mergeCell ref="D6:E6"/>
    <mergeCell ref="K6:N6"/>
    <mergeCell ref="P6:Q6"/>
    <mergeCell ref="B2:D2"/>
    <mergeCell ref="I3:J3"/>
    <mergeCell ref="K3:Q3"/>
    <mergeCell ref="S3:U3"/>
    <mergeCell ref="S4:U4"/>
    <mergeCell ref="S5:U5"/>
    <mergeCell ref="G6:H6"/>
    <mergeCell ref="I7:K7"/>
    <mergeCell ref="L7:U7"/>
    <mergeCell ref="I6:J6"/>
    <mergeCell ref="D8:E8"/>
    <mergeCell ref="D7:H7"/>
    <mergeCell ref="B8:C8"/>
    <mergeCell ref="B7:C7"/>
    <mergeCell ref="B3:C3"/>
    <mergeCell ref="F22:I22"/>
    <mergeCell ref="F17:I17"/>
    <mergeCell ref="F19:I19"/>
    <mergeCell ref="F21:I21"/>
    <mergeCell ref="M18:P18"/>
    <mergeCell ref="M20:P20"/>
    <mergeCell ref="M22:P22"/>
    <mergeCell ref="M17:P17"/>
    <mergeCell ref="M19:P19"/>
    <mergeCell ref="M21:P21"/>
    <mergeCell ref="J22:L22"/>
    <mergeCell ref="J17:L17"/>
    <mergeCell ref="J19:L19"/>
    <mergeCell ref="J21:L21"/>
    <mergeCell ref="J20:L20"/>
    <mergeCell ref="J10:L10"/>
    <mergeCell ref="F20:I20"/>
    <mergeCell ref="J18:L18"/>
    <mergeCell ref="F12:I12"/>
    <mergeCell ref="J12:L12"/>
    <mergeCell ref="J15:L15"/>
    <mergeCell ref="M15:P15"/>
    <mergeCell ref="B9:C9"/>
    <mergeCell ref="T22:U22"/>
    <mergeCell ref="T17:U17"/>
    <mergeCell ref="I8:Q8"/>
    <mergeCell ref="F8:H8"/>
    <mergeCell ref="T18:U18"/>
    <mergeCell ref="T19:U19"/>
    <mergeCell ref="T21:U21"/>
    <mergeCell ref="T20:U20"/>
    <mergeCell ref="F18:I18"/>
    <mergeCell ref="F10:I10"/>
    <mergeCell ref="M10:P10"/>
    <mergeCell ref="F16:I16"/>
    <mergeCell ref="J16:L16"/>
    <mergeCell ref="M16:P16"/>
    <mergeCell ref="T16:U16"/>
    <mergeCell ref="F11:I11"/>
    <mergeCell ref="J11:L11"/>
    <mergeCell ref="M11:P11"/>
    <mergeCell ref="T11:U11"/>
    <mergeCell ref="F13:I13"/>
    <mergeCell ref="J13:L13"/>
    <mergeCell ref="M13:P13"/>
    <mergeCell ref="T13:U13"/>
    <mergeCell ref="F15:I15"/>
    <mergeCell ref="AR7:AR8"/>
    <mergeCell ref="AS7:AS8"/>
    <mergeCell ref="AT7:AT8"/>
    <mergeCell ref="AU7:AU8"/>
    <mergeCell ref="AV7:AV8"/>
    <mergeCell ref="X7:X8"/>
    <mergeCell ref="T10:U10"/>
    <mergeCell ref="S8:U8"/>
    <mergeCell ref="AW7:AW8"/>
    <mergeCell ref="D9:U9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T15:U15"/>
    <mergeCell ref="BG7:BG8"/>
    <mergeCell ref="BH7:BH8"/>
    <mergeCell ref="BI7:BI8"/>
    <mergeCell ref="BJ7:BJ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</mergeCells>
  <phoneticPr fontId="2" type="noConversion"/>
  <conditionalFormatting sqref="C11:C22">
    <cfRule type="containsText" dxfId="0" priority="1" operator="containsText" text="Pendente">
      <formula>NOT(ISERROR(SEARCH("Pendente",C11)))</formula>
    </cfRule>
  </conditionalFormatting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Camila Baccan</cp:lastModifiedBy>
  <cp:lastPrinted>2018-12-06T16:46:30Z</cp:lastPrinted>
  <dcterms:created xsi:type="dcterms:W3CDTF">2010-08-02T13:51:18Z</dcterms:created>
  <dcterms:modified xsi:type="dcterms:W3CDTF">2026-08-25T18:43:24Z</dcterms:modified>
</cp:coreProperties>
</file>