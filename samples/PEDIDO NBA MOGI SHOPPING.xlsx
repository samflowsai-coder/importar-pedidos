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P:\COMERCIAL\CLIENTES\NBA\PEDIDOS DO CLIENTE\"/>
    </mc:Choice>
  </mc:AlternateContent>
  <xr:revisionPtr revIDLastSave="0" documentId="8_{CFF21038-A7CE-4DA5-9200-F6E3CE1404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" sheetId="3" r:id="rId1"/>
  </sheets>
  <definedNames>
    <definedName name="_xlnm._FilterDatabase" localSheetId="0" hidden="1">'1'!$B$10:$U$23</definedName>
    <definedName name="_xlnm.Print_Area" localSheetId="0">'1'!$A$1:$V$24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3" l="1"/>
  <c r="Q21" i="3"/>
  <c r="T21" i="3" s="1"/>
  <c r="Q20" i="3"/>
  <c r="T20" i="3" s="1"/>
  <c r="Q19" i="3"/>
  <c r="T19" i="3" s="1"/>
  <c r="Q18" i="3"/>
  <c r="T18" i="3" s="1"/>
  <c r="Q17" i="3"/>
  <c r="T17" i="3" s="1"/>
  <c r="Q16" i="3"/>
  <c r="T16" i="3" s="1"/>
  <c r="Q15" i="3"/>
  <c r="T15" i="3" s="1"/>
  <c r="Q14" i="3"/>
  <c r="T14" i="3" s="1"/>
  <c r="Q13" i="3"/>
  <c r="Q12" i="3"/>
  <c r="Q11" i="3"/>
  <c r="T22" i="3" l="1"/>
  <c r="T12" i="3"/>
  <c r="S23" i="3" l="1"/>
  <c r="T13" i="3"/>
  <c r="T11" i="3"/>
  <c r="T23" i="3" l="1"/>
</calcChain>
</file>

<file path=xl/sharedStrings.xml><?xml version="1.0" encoding="utf-8"?>
<sst xmlns="http://schemas.openxmlformats.org/spreadsheetml/2006/main" count="106" uniqueCount="59">
  <si>
    <t>CUSTO</t>
  </si>
  <si>
    <t>CONTATO FINANCEIRO:</t>
  </si>
  <si>
    <t xml:space="preserve">CONTATO: </t>
  </si>
  <si>
    <t xml:space="preserve">CNPJ: </t>
  </si>
  <si>
    <t xml:space="preserve">ENDEREÇO:  </t>
  </si>
  <si>
    <t xml:space="preserve">CIDADE:  </t>
  </si>
  <si>
    <t xml:space="preserve">UF: </t>
  </si>
  <si>
    <t>FANTASIA:</t>
  </si>
  <si>
    <t>DATA DO PEDIDO:</t>
  </si>
  <si>
    <t>TELEFONE:</t>
  </si>
  <si>
    <t>CEP:</t>
  </si>
  <si>
    <t xml:space="preserve">E-MAIL PARA NFE: </t>
  </si>
  <si>
    <t>BAIRRO:</t>
  </si>
  <si>
    <t xml:space="preserve">DATA DE FATURAMENTO: </t>
  </si>
  <si>
    <t>REPRESENTANTE:</t>
  </si>
  <si>
    <t>E-MAIL COMPRAS:</t>
  </si>
  <si>
    <t xml:space="preserve">OBSERVAÇÃO: </t>
  </si>
  <si>
    <t>IMAGEM</t>
  </si>
  <si>
    <t>REF.</t>
  </si>
  <si>
    <t>REF COR</t>
  </si>
  <si>
    <t>ORDEM DE COMPRA :</t>
  </si>
  <si>
    <t xml:space="preserve">RAZÃO SOCIAL:  </t>
  </si>
  <si>
    <t xml:space="preserve">INSC. ESTADUAL:  </t>
  </si>
  <si>
    <t xml:space="preserve">COND. DE PGTO. : </t>
  </si>
  <si>
    <t>SUGESTÃO</t>
  </si>
  <si>
    <t>TOTAL R$</t>
  </si>
  <si>
    <t>MARK UP:</t>
  </si>
  <si>
    <t>DESCRIÇÃO COR</t>
  </si>
  <si>
    <t>DESCRIÇÃO PRODUTO</t>
  </si>
  <si>
    <t>TAMANHOS</t>
  </si>
  <si>
    <t>OBS</t>
  </si>
  <si>
    <t>M - 33-38</t>
  </si>
  <si>
    <t>GG - 45-48</t>
  </si>
  <si>
    <t>BRANCA</t>
  </si>
  <si>
    <t>PRETA</t>
  </si>
  <si>
    <t>G - 39-44</t>
  </si>
  <si>
    <t>NB01</t>
  </si>
  <si>
    <t>NB01 - 1</t>
  </si>
  <si>
    <t>NB01 - 3</t>
  </si>
  <si>
    <t>NB03</t>
  </si>
  <si>
    <t>NB03 - 1</t>
  </si>
  <si>
    <t>NB03 - 3</t>
  </si>
  <si>
    <t>TOTAL KITS</t>
  </si>
  <si>
    <t>Kit NBA 3 Pares Cano Curto</t>
  </si>
  <si>
    <t>Kit NBA 3 Pares Cano Longo</t>
  </si>
  <si>
    <t>DNN Comercio de Roupas e Acessórios</t>
  </si>
  <si>
    <t>NBA Store Mogi Shopping</t>
  </si>
  <si>
    <t>(11) 2500-0318</t>
  </si>
  <si>
    <t>27.519.901/0001-40</t>
  </si>
  <si>
    <t>(11) 959986570</t>
  </si>
  <si>
    <t>Av Narciso Yague Guimarães 1001 - Loja 1209 B</t>
  </si>
  <si>
    <t>mychellemandu@gmail.com</t>
  </si>
  <si>
    <t>Mogi das Cruzes</t>
  </si>
  <si>
    <t>SP</t>
  </si>
  <si>
    <t>Centro Cívico</t>
  </si>
  <si>
    <t>08780-000</t>
  </si>
  <si>
    <t>dojana1.nba@hotmail.com</t>
  </si>
  <si>
    <t>Douglas / Mychelle</t>
  </si>
  <si>
    <t>30/60/90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</si>
</sst>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[$R$-416]\ * #,##0.00_-;\-[$R$-416]\ * #,##0.00_-;_-[$R$-416]\ * &quot;-&quot;??_-;_-@_-"/>
  </numFmts>
  <fonts count="1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b/>
      <sz val="10"/>
      <name val="Calibri"/>
      <family val="2"/>
    </font>
    <font>
      <b/>
      <sz val="48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0070C0"/>
      <name val="Calibri"/>
      <family val="2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</font>
    <font>
      <b/>
      <u/>
      <sz val="12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0">
    <xf numFmtId="0" fontId="0" fillId="0" borderId="0" xfId="0"/>
    <xf numFmtId="49" fontId="11" fillId="0" borderId="1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0" fontId="6" fillId="5" borderId="27" xfId="0" applyFont="1" applyFill="1" applyBorder="1" applyAlignment="1">
      <alignment horizontal="center" vertical="center" wrapText="1"/>
    </xf>
    <xf numFmtId="0" fontId="0" fillId="5" borderId="14" xfId="0" applyFill="1" applyBorder="1" applyAlignment="1" applyProtection="1">
      <alignment horizontal="center" vertical="center" wrapText="1"/>
      <protection locked="0"/>
    </xf>
    <xf numFmtId="49" fontId="0" fillId="5" borderId="14" xfId="0" applyNumberFormat="1" applyFill="1" applyBorder="1" applyAlignment="1" applyProtection="1">
      <alignment horizontal="center" vertical="center" wrapText="1"/>
      <protection locked="0"/>
    </xf>
    <xf numFmtId="3" fontId="6" fillId="5" borderId="14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165" fontId="0" fillId="5" borderId="14" xfId="0" applyNumberFormat="1" applyFill="1" applyBorder="1" applyAlignment="1">
      <alignment horizontal="center" vertical="center" wrapText="1"/>
    </xf>
    <xf numFmtId="165" fontId="0" fillId="5" borderId="14" xfId="0" applyNumberFormat="1" applyFill="1" applyBorder="1" applyAlignment="1" applyProtection="1">
      <alignment horizontal="center" vertical="center" wrapText="1"/>
      <protection locked="0"/>
    </xf>
    <xf numFmtId="9" fontId="0" fillId="0" borderId="0" xfId="3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32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5" borderId="33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2" fillId="0" borderId="3" xfId="2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164" fontId="11" fillId="0" borderId="18" xfId="1" applyFont="1" applyBorder="1" applyAlignment="1">
      <alignment horizontal="center" vertical="center" wrapText="1"/>
    </xf>
    <xf numFmtId="164" fontId="11" fillId="0" borderId="12" xfId="1" applyFont="1" applyBorder="1" applyAlignment="1">
      <alignment horizontal="center" vertical="center" wrapText="1"/>
    </xf>
    <xf numFmtId="164" fontId="11" fillId="0" borderId="28" xfId="1" applyFont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5" borderId="29" xfId="0" applyFont="1" applyFill="1" applyBorder="1" applyAlignment="1">
      <alignment horizontal="center" vertical="center" wrapText="1"/>
    </xf>
    <xf numFmtId="0" fontId="11" fillId="5" borderId="30" xfId="0" applyFont="1" applyFill="1" applyBorder="1" applyAlignment="1">
      <alignment horizontal="center" vertical="center" wrapText="1"/>
    </xf>
    <xf numFmtId="0" fontId="11" fillId="5" borderId="31" xfId="0" applyFont="1" applyFill="1" applyBorder="1" applyAlignment="1">
      <alignment horizontal="center" vertical="center" wrapText="1"/>
    </xf>
    <xf numFmtId="164" fontId="6" fillId="5" borderId="1" xfId="1" applyFont="1" applyFill="1" applyBorder="1" applyAlignment="1">
      <alignment horizontal="center" vertical="center" wrapText="1"/>
    </xf>
    <xf numFmtId="164" fontId="6" fillId="5" borderId="10" xfId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14" fontId="10" fillId="0" borderId="9" xfId="0" applyNumberFormat="1" applyFont="1" applyBorder="1" applyAlignment="1">
      <alignment horizontal="center" vertical="center" wrapText="1"/>
    </xf>
    <xf numFmtId="164" fontId="6" fillId="5" borderId="3" xfId="1" applyFont="1" applyFill="1" applyBorder="1" applyAlignment="1">
      <alignment horizontal="center" vertical="center" wrapText="1"/>
    </xf>
    <xf numFmtId="164" fontId="6" fillId="5" borderId="9" xfId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164" fontId="6" fillId="5" borderId="22" xfId="1" applyFont="1" applyFill="1" applyBorder="1" applyAlignment="1">
      <alignment horizontal="center" vertical="center" wrapText="1"/>
    </xf>
    <xf numFmtId="164" fontId="6" fillId="5" borderId="26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64" fontId="8" fillId="2" borderId="3" xfId="1" applyFont="1" applyFill="1" applyBorder="1" applyAlignment="1">
      <alignment horizontal="center" vertical="center" wrapText="1"/>
    </xf>
    <xf numFmtId="164" fontId="8" fillId="2" borderId="9" xfId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</cellXfs>
  <cellStyles count="4">
    <cellStyle name="Hiperlink" xfId="2" builtinId="8"/>
    <cellStyle name="Moeda" xfId="1" builtinId="4"/>
    <cellStyle name="Normal" xfId="0" builtinId="0"/>
    <cellStyle name="Porcentagem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D2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179915</xdr:colOff>
      <xdr:row>1</xdr:row>
      <xdr:rowOff>42334</xdr:rowOff>
    </xdr:from>
    <xdr:to>
      <xdr:col>3</xdr:col>
      <xdr:colOff>6613</xdr:colOff>
      <xdr:row>1</xdr:row>
      <xdr:rowOff>825411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6497A9-0747-41F7-B45B-B6F88C256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0998" y="243417"/>
          <a:ext cx="1799167" cy="783077"/>
        </a:xfrm>
        <a:prstGeom prst="rect">
          <a:avLst/>
        </a:prstGeom>
      </xdr:spPr>
    </xdr:pic>
    <xdr:clientData/>
  </xdr:twoCellAnchor>
  <xdr:twoCellAnchor>
    <xdr:from>
      <xdr:col>1</xdr:col>
      <xdr:colOff>47626</xdr:colOff>
      <xdr:row>13</xdr:row>
      <xdr:rowOff>142875</xdr:rowOff>
    </xdr:from>
    <xdr:to>
      <xdr:col>2</xdr:col>
      <xdr:colOff>0</xdr:colOff>
      <xdr:row>13</xdr:row>
      <xdr:rowOff>802692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8F645576-B5DC-EC15-5D7D-803855F7FD33}"/>
            </a:ext>
          </a:extLst>
        </xdr:cNvPr>
        <xdr:cNvGrpSpPr/>
      </xdr:nvGrpSpPr>
      <xdr:grpSpPr>
        <a:xfrm>
          <a:off x="254001" y="5492750"/>
          <a:ext cx="1381124" cy="659817"/>
          <a:chOff x="269876" y="8234402"/>
          <a:chExt cx="1508125" cy="585165"/>
        </a:xfrm>
      </xdr:grpSpPr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A8AA6486-45EA-A82D-21F1-311FEE23CF8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1608" t="8482" r="17856" b="10268"/>
          <a:stretch>
            <a:fillRect/>
          </a:stretch>
        </xdr:blipFill>
        <xdr:spPr>
          <a:xfrm>
            <a:off x="269876" y="8243546"/>
            <a:ext cx="492124" cy="566877"/>
          </a:xfrm>
          <a:prstGeom prst="rect">
            <a:avLst/>
          </a:prstGeom>
        </xdr:spPr>
      </xdr:pic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5707D6EA-625E-D149-9CF5-56F13B93BBB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1608" t="8482" r="17856" b="10268"/>
          <a:stretch>
            <a:fillRect/>
          </a:stretch>
        </xdr:blipFill>
        <xdr:spPr>
          <a:xfrm>
            <a:off x="777876" y="8234402"/>
            <a:ext cx="508000" cy="585165"/>
          </a:xfrm>
          <a:prstGeom prst="rect">
            <a:avLst/>
          </a:prstGeom>
        </xdr:spPr>
      </xdr:pic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EE30B3FE-D5DC-3848-BC57-F96B70CF22A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1608" t="8482" r="17856" b="10268"/>
          <a:stretch>
            <a:fillRect/>
          </a:stretch>
        </xdr:blipFill>
        <xdr:spPr>
          <a:xfrm>
            <a:off x="1270001" y="8234402"/>
            <a:ext cx="508000" cy="58516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63499</xdr:colOff>
      <xdr:row>16</xdr:row>
      <xdr:rowOff>15875</xdr:rowOff>
    </xdr:from>
    <xdr:to>
      <xdr:col>1</xdr:col>
      <xdr:colOff>1595927</xdr:colOff>
      <xdr:row>16</xdr:row>
      <xdr:rowOff>841375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18F3F3D8-5E59-C5A7-DBA0-207EE8DE67D6}"/>
            </a:ext>
          </a:extLst>
        </xdr:cNvPr>
        <xdr:cNvGrpSpPr/>
      </xdr:nvGrpSpPr>
      <xdr:grpSpPr>
        <a:xfrm>
          <a:off x="269874" y="8032750"/>
          <a:ext cx="1360978" cy="825500"/>
          <a:chOff x="285749" y="18700750"/>
          <a:chExt cx="1532428" cy="825500"/>
        </a:xfrm>
      </xdr:grpSpPr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B6C3081F-4CD9-BCA2-FDFF-2F5CC4FD11E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2695" t="5936" r="23184" b="9218"/>
          <a:stretch>
            <a:fillRect/>
          </a:stretch>
        </xdr:blipFill>
        <xdr:spPr>
          <a:xfrm>
            <a:off x="285749" y="18700750"/>
            <a:ext cx="516427" cy="809625"/>
          </a:xfrm>
          <a:prstGeom prst="rect">
            <a:avLst/>
          </a:prstGeom>
        </xdr:spPr>
      </xdr:pic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5BE21A01-D61D-B444-8C2B-2C5E18A1B2E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2695" t="5936" r="23184" b="9218"/>
          <a:stretch>
            <a:fillRect/>
          </a:stretch>
        </xdr:blipFill>
        <xdr:spPr>
          <a:xfrm>
            <a:off x="793750" y="18716625"/>
            <a:ext cx="516427" cy="809625"/>
          </a:xfrm>
          <a:prstGeom prst="rect">
            <a:avLst/>
          </a:prstGeom>
        </xdr:spPr>
      </xdr:pic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7E3FD417-2F92-BC41-9EA0-0F99F204D86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2695" t="5936" r="23184" b="9218"/>
          <a:stretch>
            <a:fillRect/>
          </a:stretch>
        </xdr:blipFill>
        <xdr:spPr>
          <a:xfrm>
            <a:off x="1301750" y="18716625"/>
            <a:ext cx="516427" cy="80962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47625</xdr:colOff>
      <xdr:row>19</xdr:row>
      <xdr:rowOff>23812</xdr:rowOff>
    </xdr:from>
    <xdr:to>
      <xdr:col>1</xdr:col>
      <xdr:colOff>1619250</xdr:colOff>
      <xdr:row>19</xdr:row>
      <xdr:rowOff>861322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36249E17-F813-1A01-75BB-1C38E72F936B}"/>
            </a:ext>
          </a:extLst>
        </xdr:cNvPr>
        <xdr:cNvGrpSpPr/>
      </xdr:nvGrpSpPr>
      <xdr:grpSpPr>
        <a:xfrm>
          <a:off x="254000" y="10707687"/>
          <a:ext cx="1381125" cy="837510"/>
          <a:chOff x="269875" y="24042687"/>
          <a:chExt cx="1571625" cy="837510"/>
        </a:xfrm>
      </xdr:grpSpPr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244836ED-74FD-1A15-9608-9FA9A210C18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24092" t="5936" r="22835" b="9218"/>
          <a:stretch>
            <a:fillRect/>
          </a:stretch>
        </xdr:blipFill>
        <xdr:spPr>
          <a:xfrm>
            <a:off x="1317625" y="24042687"/>
            <a:ext cx="523875" cy="837510"/>
          </a:xfrm>
          <a:prstGeom prst="rect">
            <a:avLst/>
          </a:prstGeom>
        </xdr:spPr>
      </xdr:pic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1B3D2386-6439-8F43-B4BF-52993054233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24092" t="5936" r="22835" b="9218"/>
          <a:stretch>
            <a:fillRect/>
          </a:stretch>
        </xdr:blipFill>
        <xdr:spPr>
          <a:xfrm>
            <a:off x="809625" y="24042687"/>
            <a:ext cx="523875" cy="837510"/>
          </a:xfrm>
          <a:prstGeom prst="rect">
            <a:avLst/>
          </a:prstGeom>
        </xdr:spPr>
      </xdr:pic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FA663532-BAA7-384D-AF6E-E1017FFD41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24092" t="5936" r="22835" b="9218"/>
          <a:stretch>
            <a:fillRect/>
          </a:stretch>
        </xdr:blipFill>
        <xdr:spPr>
          <a:xfrm>
            <a:off x="269875" y="24042687"/>
            <a:ext cx="523875" cy="83751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63500</xdr:colOff>
      <xdr:row>17</xdr:row>
      <xdr:rowOff>31750</xdr:rowOff>
    </xdr:from>
    <xdr:to>
      <xdr:col>1</xdr:col>
      <xdr:colOff>1595928</xdr:colOff>
      <xdr:row>17</xdr:row>
      <xdr:rowOff>857250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653384E3-61CF-5342-BDC1-5E1E1840C574}"/>
            </a:ext>
          </a:extLst>
        </xdr:cNvPr>
        <xdr:cNvGrpSpPr/>
      </xdr:nvGrpSpPr>
      <xdr:grpSpPr>
        <a:xfrm>
          <a:off x="269875" y="8937625"/>
          <a:ext cx="1360978" cy="825500"/>
          <a:chOff x="285749" y="18700750"/>
          <a:chExt cx="1532428" cy="825500"/>
        </a:xfrm>
      </xdr:grpSpPr>
      <xdr:pic>
        <xdr:nvPicPr>
          <xdr:cNvPr id="30" name="Imagem 29">
            <a:extLst>
              <a:ext uri="{FF2B5EF4-FFF2-40B4-BE49-F238E27FC236}">
                <a16:creationId xmlns:a16="http://schemas.microsoft.com/office/drawing/2014/main" id="{540D4F9A-CD10-4042-0B4B-78E6F2BF9EC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2695" t="5936" r="23184" b="9218"/>
          <a:stretch>
            <a:fillRect/>
          </a:stretch>
        </xdr:blipFill>
        <xdr:spPr>
          <a:xfrm>
            <a:off x="285749" y="18700750"/>
            <a:ext cx="516427" cy="809625"/>
          </a:xfrm>
          <a:prstGeom prst="rect">
            <a:avLst/>
          </a:prstGeom>
        </xdr:spPr>
      </xdr:pic>
      <xdr:pic>
        <xdr:nvPicPr>
          <xdr:cNvPr id="31" name="Imagem 30">
            <a:extLst>
              <a:ext uri="{FF2B5EF4-FFF2-40B4-BE49-F238E27FC236}">
                <a16:creationId xmlns:a16="http://schemas.microsoft.com/office/drawing/2014/main" id="{DA01E859-18E8-9187-BFBF-821A2F9A1DC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2695" t="5936" r="23184" b="9218"/>
          <a:stretch>
            <a:fillRect/>
          </a:stretch>
        </xdr:blipFill>
        <xdr:spPr>
          <a:xfrm>
            <a:off x="793750" y="18716625"/>
            <a:ext cx="516427" cy="809625"/>
          </a:xfrm>
          <a:prstGeom prst="rect">
            <a:avLst/>
          </a:prstGeom>
        </xdr:spPr>
      </xdr:pic>
      <xdr:pic>
        <xdr:nvPicPr>
          <xdr:cNvPr id="32" name="Imagem 31">
            <a:extLst>
              <a:ext uri="{FF2B5EF4-FFF2-40B4-BE49-F238E27FC236}">
                <a16:creationId xmlns:a16="http://schemas.microsoft.com/office/drawing/2014/main" id="{77065BCF-45C7-D698-DACC-52FCE50A420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2695" t="5936" r="23184" b="9218"/>
          <a:stretch>
            <a:fillRect/>
          </a:stretch>
        </xdr:blipFill>
        <xdr:spPr>
          <a:xfrm>
            <a:off x="1301750" y="18716625"/>
            <a:ext cx="516427" cy="80962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79375</xdr:colOff>
      <xdr:row>18</xdr:row>
      <xdr:rowOff>31750</xdr:rowOff>
    </xdr:from>
    <xdr:to>
      <xdr:col>1</xdr:col>
      <xdr:colOff>1611803</xdr:colOff>
      <xdr:row>18</xdr:row>
      <xdr:rowOff>857250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43C03150-B506-5D49-B463-DDFE87BA8BD0}"/>
            </a:ext>
          </a:extLst>
        </xdr:cNvPr>
        <xdr:cNvGrpSpPr/>
      </xdr:nvGrpSpPr>
      <xdr:grpSpPr>
        <a:xfrm>
          <a:off x="285750" y="9826625"/>
          <a:ext cx="1351453" cy="825500"/>
          <a:chOff x="285749" y="18700750"/>
          <a:chExt cx="1532428" cy="825500"/>
        </a:xfrm>
      </xdr:grpSpPr>
      <xdr:pic>
        <xdr:nvPicPr>
          <xdr:cNvPr id="34" name="Imagem 33">
            <a:extLst>
              <a:ext uri="{FF2B5EF4-FFF2-40B4-BE49-F238E27FC236}">
                <a16:creationId xmlns:a16="http://schemas.microsoft.com/office/drawing/2014/main" id="{C5C1AABB-7C36-7990-E739-C750E8F0B65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2695" t="5936" r="23184" b="9218"/>
          <a:stretch>
            <a:fillRect/>
          </a:stretch>
        </xdr:blipFill>
        <xdr:spPr>
          <a:xfrm>
            <a:off x="285749" y="18700750"/>
            <a:ext cx="516427" cy="809625"/>
          </a:xfrm>
          <a:prstGeom prst="rect">
            <a:avLst/>
          </a:prstGeom>
        </xdr:spPr>
      </xdr:pic>
      <xdr:pic>
        <xdr:nvPicPr>
          <xdr:cNvPr id="35" name="Imagem 34">
            <a:extLst>
              <a:ext uri="{FF2B5EF4-FFF2-40B4-BE49-F238E27FC236}">
                <a16:creationId xmlns:a16="http://schemas.microsoft.com/office/drawing/2014/main" id="{E753E88D-E709-9C36-28CA-1915A64A899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2695" t="5936" r="23184" b="9218"/>
          <a:stretch>
            <a:fillRect/>
          </a:stretch>
        </xdr:blipFill>
        <xdr:spPr>
          <a:xfrm>
            <a:off x="793750" y="18716625"/>
            <a:ext cx="516427" cy="809625"/>
          </a:xfrm>
          <a:prstGeom prst="rect">
            <a:avLst/>
          </a:prstGeom>
        </xdr:spPr>
      </xdr:pic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F67DFA79-A591-B5EE-D91B-AF6F65EC9D4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2695" t="5936" r="23184" b="9218"/>
          <a:stretch>
            <a:fillRect/>
          </a:stretch>
        </xdr:blipFill>
        <xdr:spPr>
          <a:xfrm>
            <a:off x="1301750" y="18716625"/>
            <a:ext cx="516427" cy="80962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31750</xdr:colOff>
      <xdr:row>20</xdr:row>
      <xdr:rowOff>15875</xdr:rowOff>
    </xdr:from>
    <xdr:to>
      <xdr:col>1</xdr:col>
      <xdr:colOff>1603375</xdr:colOff>
      <xdr:row>20</xdr:row>
      <xdr:rowOff>853385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5BB7EB81-1654-0749-A004-7EB1E5970024}"/>
            </a:ext>
          </a:extLst>
        </xdr:cNvPr>
        <xdr:cNvGrpSpPr/>
      </xdr:nvGrpSpPr>
      <xdr:grpSpPr>
        <a:xfrm>
          <a:off x="238125" y="11588750"/>
          <a:ext cx="1400175" cy="837510"/>
          <a:chOff x="269875" y="24042687"/>
          <a:chExt cx="1571625" cy="837510"/>
        </a:xfrm>
      </xdr:grpSpPr>
      <xdr:pic>
        <xdr:nvPicPr>
          <xdr:cNvPr id="39" name="Imagem 38">
            <a:extLst>
              <a:ext uri="{FF2B5EF4-FFF2-40B4-BE49-F238E27FC236}">
                <a16:creationId xmlns:a16="http://schemas.microsoft.com/office/drawing/2014/main" id="{AAB45FCB-DB73-4B14-44BD-4638E46EC2E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24092" t="5936" r="22835" b="9218"/>
          <a:stretch>
            <a:fillRect/>
          </a:stretch>
        </xdr:blipFill>
        <xdr:spPr>
          <a:xfrm>
            <a:off x="1317625" y="24042687"/>
            <a:ext cx="523875" cy="837510"/>
          </a:xfrm>
          <a:prstGeom prst="rect">
            <a:avLst/>
          </a:prstGeom>
        </xdr:spPr>
      </xdr:pic>
      <xdr:pic>
        <xdr:nvPicPr>
          <xdr:cNvPr id="40" name="Imagem 39">
            <a:extLst>
              <a:ext uri="{FF2B5EF4-FFF2-40B4-BE49-F238E27FC236}">
                <a16:creationId xmlns:a16="http://schemas.microsoft.com/office/drawing/2014/main" id="{A57CA71E-04D0-5A17-556D-AA008E4DBD1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24092" t="5936" r="22835" b="9218"/>
          <a:stretch>
            <a:fillRect/>
          </a:stretch>
        </xdr:blipFill>
        <xdr:spPr>
          <a:xfrm>
            <a:off x="809625" y="24042687"/>
            <a:ext cx="523875" cy="837510"/>
          </a:xfrm>
          <a:prstGeom prst="rect">
            <a:avLst/>
          </a:prstGeom>
        </xdr:spPr>
      </xdr:pic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1694573B-940C-7228-51E4-039C1B62E28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24092" t="5936" r="22835" b="9218"/>
          <a:stretch>
            <a:fillRect/>
          </a:stretch>
        </xdr:blipFill>
        <xdr:spPr>
          <a:xfrm>
            <a:off x="269875" y="24042687"/>
            <a:ext cx="523875" cy="83751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47625</xdr:colOff>
      <xdr:row>21</xdr:row>
      <xdr:rowOff>47625</xdr:rowOff>
    </xdr:from>
    <xdr:to>
      <xdr:col>1</xdr:col>
      <xdr:colOff>1619250</xdr:colOff>
      <xdr:row>21</xdr:row>
      <xdr:rowOff>885135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6DD508AA-76D0-9545-808E-13B6EC2419B9}"/>
            </a:ext>
          </a:extLst>
        </xdr:cNvPr>
        <xdr:cNvGrpSpPr/>
      </xdr:nvGrpSpPr>
      <xdr:grpSpPr>
        <a:xfrm>
          <a:off x="254000" y="12509500"/>
          <a:ext cx="1381125" cy="837510"/>
          <a:chOff x="269875" y="24042687"/>
          <a:chExt cx="1571625" cy="837510"/>
        </a:xfrm>
      </xdr:grpSpPr>
      <xdr:pic>
        <xdr:nvPicPr>
          <xdr:cNvPr id="43" name="Imagem 42">
            <a:extLst>
              <a:ext uri="{FF2B5EF4-FFF2-40B4-BE49-F238E27FC236}">
                <a16:creationId xmlns:a16="http://schemas.microsoft.com/office/drawing/2014/main" id="{AEDBB9F2-8325-072D-8CBC-78181DB8434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24092" t="5936" r="22835" b="9218"/>
          <a:stretch>
            <a:fillRect/>
          </a:stretch>
        </xdr:blipFill>
        <xdr:spPr>
          <a:xfrm>
            <a:off x="1317625" y="24042687"/>
            <a:ext cx="523875" cy="837510"/>
          </a:xfrm>
          <a:prstGeom prst="rect">
            <a:avLst/>
          </a:prstGeom>
        </xdr:spPr>
      </xdr:pic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4AE8E96B-E735-4576-116C-5C3020140F4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24092" t="5936" r="22835" b="9218"/>
          <a:stretch>
            <a:fillRect/>
          </a:stretch>
        </xdr:blipFill>
        <xdr:spPr>
          <a:xfrm>
            <a:off x="809625" y="24042687"/>
            <a:ext cx="523875" cy="837510"/>
          </a:xfrm>
          <a:prstGeom prst="rect">
            <a:avLst/>
          </a:prstGeom>
        </xdr:spPr>
      </xdr:pic>
      <xdr:pic>
        <xdr:nvPicPr>
          <xdr:cNvPr id="45" name="Imagem 44">
            <a:extLst>
              <a:ext uri="{FF2B5EF4-FFF2-40B4-BE49-F238E27FC236}">
                <a16:creationId xmlns:a16="http://schemas.microsoft.com/office/drawing/2014/main" id="{CE3B7CEE-966D-029F-62A0-F8FD68D4358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24092" t="5936" r="22835" b="9218"/>
          <a:stretch>
            <a:fillRect/>
          </a:stretch>
        </xdr:blipFill>
        <xdr:spPr>
          <a:xfrm>
            <a:off x="269875" y="24042687"/>
            <a:ext cx="523875" cy="83751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31751</xdr:colOff>
      <xdr:row>10</xdr:row>
      <xdr:rowOff>142875</xdr:rowOff>
    </xdr:from>
    <xdr:to>
      <xdr:col>2</xdr:col>
      <xdr:colOff>0</xdr:colOff>
      <xdr:row>10</xdr:row>
      <xdr:rowOff>772583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C053BC7F-8DD6-09B0-AF10-C8EE2D4B5254}"/>
            </a:ext>
          </a:extLst>
        </xdr:cNvPr>
        <xdr:cNvGrpSpPr/>
      </xdr:nvGrpSpPr>
      <xdr:grpSpPr>
        <a:xfrm>
          <a:off x="238126" y="2825750"/>
          <a:ext cx="1396999" cy="629708"/>
          <a:chOff x="254001" y="2825750"/>
          <a:chExt cx="1603374" cy="629708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A0DD3C58-894C-67DE-82D6-6B797E88F6E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11160" t="7143" r="16518" b="9822"/>
          <a:stretch>
            <a:fillRect/>
          </a:stretch>
        </xdr:blipFill>
        <xdr:spPr>
          <a:xfrm>
            <a:off x="254001" y="2825750"/>
            <a:ext cx="548456" cy="629708"/>
          </a:xfrm>
          <a:prstGeom prst="rect">
            <a:avLst/>
          </a:prstGeom>
        </xdr:spPr>
      </xdr:pic>
      <xdr:pic>
        <xdr:nvPicPr>
          <xdr:cNvPr id="52" name="Imagem 51">
            <a:extLst>
              <a:ext uri="{FF2B5EF4-FFF2-40B4-BE49-F238E27FC236}">
                <a16:creationId xmlns:a16="http://schemas.microsoft.com/office/drawing/2014/main" id="{01A9F251-D3A2-2041-95E0-6B2BA95021F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11160" t="7143" r="16518" b="9822"/>
          <a:stretch>
            <a:fillRect/>
          </a:stretch>
        </xdr:blipFill>
        <xdr:spPr>
          <a:xfrm>
            <a:off x="809625" y="2833688"/>
            <a:ext cx="534629" cy="613833"/>
          </a:xfrm>
          <a:prstGeom prst="rect">
            <a:avLst/>
          </a:prstGeom>
        </xdr:spPr>
      </xdr:pic>
      <xdr:pic>
        <xdr:nvPicPr>
          <xdr:cNvPr id="53" name="Imagem 52">
            <a:extLst>
              <a:ext uri="{FF2B5EF4-FFF2-40B4-BE49-F238E27FC236}">
                <a16:creationId xmlns:a16="http://schemas.microsoft.com/office/drawing/2014/main" id="{0FCBC659-A2C2-7749-9A67-63E46114C5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11160" t="7143" r="16518" b="9822"/>
          <a:stretch>
            <a:fillRect/>
          </a:stretch>
        </xdr:blipFill>
        <xdr:spPr>
          <a:xfrm>
            <a:off x="1317625" y="2830748"/>
            <a:ext cx="539750" cy="6197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15875</xdr:colOff>
      <xdr:row>11</xdr:row>
      <xdr:rowOff>127000</xdr:rowOff>
    </xdr:from>
    <xdr:to>
      <xdr:col>1</xdr:col>
      <xdr:colOff>1619249</xdr:colOff>
      <xdr:row>11</xdr:row>
      <xdr:rowOff>756708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id="{E007B2AB-E9B3-B24C-9FAF-E0B4140F1128}"/>
            </a:ext>
          </a:extLst>
        </xdr:cNvPr>
        <xdr:cNvGrpSpPr/>
      </xdr:nvGrpSpPr>
      <xdr:grpSpPr>
        <a:xfrm>
          <a:off x="222250" y="3698875"/>
          <a:ext cx="1412874" cy="629708"/>
          <a:chOff x="254001" y="2825750"/>
          <a:chExt cx="1603374" cy="629708"/>
        </a:xfrm>
      </xdr:grpSpPr>
      <xdr:pic>
        <xdr:nvPicPr>
          <xdr:cNvPr id="56" name="Imagem 55">
            <a:extLst>
              <a:ext uri="{FF2B5EF4-FFF2-40B4-BE49-F238E27FC236}">
                <a16:creationId xmlns:a16="http://schemas.microsoft.com/office/drawing/2014/main" id="{3AFFCD4A-FC59-9811-648E-8EE891FB0DF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11160" t="7143" r="16518" b="9822"/>
          <a:stretch>
            <a:fillRect/>
          </a:stretch>
        </xdr:blipFill>
        <xdr:spPr>
          <a:xfrm>
            <a:off x="254001" y="2825750"/>
            <a:ext cx="548456" cy="629708"/>
          </a:xfrm>
          <a:prstGeom prst="rect">
            <a:avLst/>
          </a:prstGeom>
        </xdr:spPr>
      </xdr:pic>
      <xdr:pic>
        <xdr:nvPicPr>
          <xdr:cNvPr id="57" name="Imagem 56">
            <a:extLst>
              <a:ext uri="{FF2B5EF4-FFF2-40B4-BE49-F238E27FC236}">
                <a16:creationId xmlns:a16="http://schemas.microsoft.com/office/drawing/2014/main" id="{81D754A6-4AB0-7E1F-02DF-7DD9B6F2EFD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11160" t="7143" r="16518" b="9822"/>
          <a:stretch>
            <a:fillRect/>
          </a:stretch>
        </xdr:blipFill>
        <xdr:spPr>
          <a:xfrm>
            <a:off x="809625" y="2833688"/>
            <a:ext cx="534629" cy="613833"/>
          </a:xfrm>
          <a:prstGeom prst="rect">
            <a:avLst/>
          </a:prstGeom>
        </xdr:spPr>
      </xdr:pic>
      <xdr:pic>
        <xdr:nvPicPr>
          <xdr:cNvPr id="58" name="Imagem 57">
            <a:extLst>
              <a:ext uri="{FF2B5EF4-FFF2-40B4-BE49-F238E27FC236}">
                <a16:creationId xmlns:a16="http://schemas.microsoft.com/office/drawing/2014/main" id="{6BAA03FF-DC9B-ED5C-2B2B-95C3677E454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11160" t="7143" r="16518" b="9822"/>
          <a:stretch>
            <a:fillRect/>
          </a:stretch>
        </xdr:blipFill>
        <xdr:spPr>
          <a:xfrm>
            <a:off x="1317625" y="2830748"/>
            <a:ext cx="539750" cy="6197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15875</xdr:colOff>
      <xdr:row>12</xdr:row>
      <xdr:rowOff>111125</xdr:rowOff>
    </xdr:from>
    <xdr:to>
      <xdr:col>1</xdr:col>
      <xdr:colOff>1619249</xdr:colOff>
      <xdr:row>12</xdr:row>
      <xdr:rowOff>740833</xdr:rowOff>
    </xdr:to>
    <xdr:grpSp>
      <xdr:nvGrpSpPr>
        <xdr:cNvPr id="59" name="Agrupar 58">
          <a:extLst>
            <a:ext uri="{FF2B5EF4-FFF2-40B4-BE49-F238E27FC236}">
              <a16:creationId xmlns:a16="http://schemas.microsoft.com/office/drawing/2014/main" id="{C756A6FC-0EDF-C446-AAC2-900BBC1F078C}"/>
            </a:ext>
          </a:extLst>
        </xdr:cNvPr>
        <xdr:cNvGrpSpPr/>
      </xdr:nvGrpSpPr>
      <xdr:grpSpPr>
        <a:xfrm>
          <a:off x="222250" y="4572000"/>
          <a:ext cx="1412874" cy="629708"/>
          <a:chOff x="254001" y="2825750"/>
          <a:chExt cx="1603374" cy="629708"/>
        </a:xfrm>
      </xdr:grpSpPr>
      <xdr:pic>
        <xdr:nvPicPr>
          <xdr:cNvPr id="60" name="Imagem 59">
            <a:extLst>
              <a:ext uri="{FF2B5EF4-FFF2-40B4-BE49-F238E27FC236}">
                <a16:creationId xmlns:a16="http://schemas.microsoft.com/office/drawing/2014/main" id="{29EB6057-E351-D1C7-5F6D-D1965180A53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11160" t="7143" r="16518" b="9822"/>
          <a:stretch>
            <a:fillRect/>
          </a:stretch>
        </xdr:blipFill>
        <xdr:spPr>
          <a:xfrm>
            <a:off x="254001" y="2825750"/>
            <a:ext cx="548456" cy="629708"/>
          </a:xfrm>
          <a:prstGeom prst="rect">
            <a:avLst/>
          </a:prstGeom>
        </xdr:spPr>
      </xdr:pic>
      <xdr:pic>
        <xdr:nvPicPr>
          <xdr:cNvPr id="61" name="Imagem 60">
            <a:extLst>
              <a:ext uri="{FF2B5EF4-FFF2-40B4-BE49-F238E27FC236}">
                <a16:creationId xmlns:a16="http://schemas.microsoft.com/office/drawing/2014/main" id="{18181BFB-9E86-D475-C8F5-B7AAF7CA11C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11160" t="7143" r="16518" b="9822"/>
          <a:stretch>
            <a:fillRect/>
          </a:stretch>
        </xdr:blipFill>
        <xdr:spPr>
          <a:xfrm>
            <a:off x="809625" y="2833688"/>
            <a:ext cx="534629" cy="613833"/>
          </a:xfrm>
          <a:prstGeom prst="rect">
            <a:avLst/>
          </a:prstGeom>
        </xdr:spPr>
      </xdr:pic>
      <xdr:pic>
        <xdr:nvPicPr>
          <xdr:cNvPr id="62" name="Imagem 61">
            <a:extLst>
              <a:ext uri="{FF2B5EF4-FFF2-40B4-BE49-F238E27FC236}">
                <a16:creationId xmlns:a16="http://schemas.microsoft.com/office/drawing/2014/main" id="{0315287D-94CA-BF29-EDDC-7531792FEF2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11160" t="7143" r="16518" b="9822"/>
          <a:stretch>
            <a:fillRect/>
          </a:stretch>
        </xdr:blipFill>
        <xdr:spPr>
          <a:xfrm>
            <a:off x="1317625" y="2830748"/>
            <a:ext cx="539750" cy="6197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47625</xdr:colOff>
      <xdr:row>14</xdr:row>
      <xdr:rowOff>111125</xdr:rowOff>
    </xdr:from>
    <xdr:to>
      <xdr:col>1</xdr:col>
      <xdr:colOff>1635124</xdr:colOff>
      <xdr:row>14</xdr:row>
      <xdr:rowOff>770942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id="{B4181F3B-2E5F-1444-A760-7B34F3BFE3C1}"/>
            </a:ext>
          </a:extLst>
        </xdr:cNvPr>
        <xdr:cNvGrpSpPr/>
      </xdr:nvGrpSpPr>
      <xdr:grpSpPr>
        <a:xfrm>
          <a:off x="254000" y="6350000"/>
          <a:ext cx="1377949" cy="659817"/>
          <a:chOff x="269876" y="8234402"/>
          <a:chExt cx="1508125" cy="585165"/>
        </a:xfrm>
      </xdr:grpSpPr>
      <xdr:pic>
        <xdr:nvPicPr>
          <xdr:cNvPr id="80" name="Imagem 79">
            <a:extLst>
              <a:ext uri="{FF2B5EF4-FFF2-40B4-BE49-F238E27FC236}">
                <a16:creationId xmlns:a16="http://schemas.microsoft.com/office/drawing/2014/main" id="{402AC24C-856B-1187-FA76-8037D3AEC1C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1608" t="8482" r="17856" b="10268"/>
          <a:stretch>
            <a:fillRect/>
          </a:stretch>
        </xdr:blipFill>
        <xdr:spPr>
          <a:xfrm>
            <a:off x="269876" y="8243546"/>
            <a:ext cx="492124" cy="566877"/>
          </a:xfrm>
          <a:prstGeom prst="rect">
            <a:avLst/>
          </a:prstGeom>
        </xdr:spPr>
      </xdr:pic>
      <xdr:pic>
        <xdr:nvPicPr>
          <xdr:cNvPr id="81" name="Imagem 80">
            <a:extLst>
              <a:ext uri="{FF2B5EF4-FFF2-40B4-BE49-F238E27FC236}">
                <a16:creationId xmlns:a16="http://schemas.microsoft.com/office/drawing/2014/main" id="{B347B181-47D1-7572-3BA3-5212B608AA5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1608" t="8482" r="17856" b="10268"/>
          <a:stretch>
            <a:fillRect/>
          </a:stretch>
        </xdr:blipFill>
        <xdr:spPr>
          <a:xfrm>
            <a:off x="777876" y="8234402"/>
            <a:ext cx="508000" cy="585165"/>
          </a:xfrm>
          <a:prstGeom prst="rect">
            <a:avLst/>
          </a:prstGeom>
        </xdr:spPr>
      </xdr:pic>
      <xdr:pic>
        <xdr:nvPicPr>
          <xdr:cNvPr id="82" name="Imagem 81">
            <a:extLst>
              <a:ext uri="{FF2B5EF4-FFF2-40B4-BE49-F238E27FC236}">
                <a16:creationId xmlns:a16="http://schemas.microsoft.com/office/drawing/2014/main" id="{F2E74602-A3F9-088A-3782-4E0F2ACDD23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1608" t="8482" r="17856" b="10268"/>
          <a:stretch>
            <a:fillRect/>
          </a:stretch>
        </xdr:blipFill>
        <xdr:spPr>
          <a:xfrm>
            <a:off x="1270001" y="8234402"/>
            <a:ext cx="508000" cy="58516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15875</xdr:colOff>
      <xdr:row>15</xdr:row>
      <xdr:rowOff>95250</xdr:rowOff>
    </xdr:from>
    <xdr:to>
      <xdr:col>1</xdr:col>
      <xdr:colOff>1603374</xdr:colOff>
      <xdr:row>15</xdr:row>
      <xdr:rowOff>755067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id="{7FB4A354-628A-F34B-A888-3D82F0F097F1}"/>
            </a:ext>
          </a:extLst>
        </xdr:cNvPr>
        <xdr:cNvGrpSpPr/>
      </xdr:nvGrpSpPr>
      <xdr:grpSpPr>
        <a:xfrm>
          <a:off x="222250" y="7223125"/>
          <a:ext cx="1416049" cy="659817"/>
          <a:chOff x="269876" y="8234402"/>
          <a:chExt cx="1508125" cy="585165"/>
        </a:xfrm>
      </xdr:grpSpPr>
      <xdr:pic>
        <xdr:nvPicPr>
          <xdr:cNvPr id="84" name="Imagem 83">
            <a:extLst>
              <a:ext uri="{FF2B5EF4-FFF2-40B4-BE49-F238E27FC236}">
                <a16:creationId xmlns:a16="http://schemas.microsoft.com/office/drawing/2014/main" id="{B974FF4C-08F5-80E7-4BE9-E8FD75A9131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1608" t="8482" r="17856" b="10268"/>
          <a:stretch>
            <a:fillRect/>
          </a:stretch>
        </xdr:blipFill>
        <xdr:spPr>
          <a:xfrm>
            <a:off x="269876" y="8243546"/>
            <a:ext cx="492124" cy="566877"/>
          </a:xfrm>
          <a:prstGeom prst="rect">
            <a:avLst/>
          </a:prstGeom>
        </xdr:spPr>
      </xdr:pic>
      <xdr:pic>
        <xdr:nvPicPr>
          <xdr:cNvPr id="85" name="Imagem 84">
            <a:extLst>
              <a:ext uri="{FF2B5EF4-FFF2-40B4-BE49-F238E27FC236}">
                <a16:creationId xmlns:a16="http://schemas.microsoft.com/office/drawing/2014/main" id="{317BEF23-DDDC-2CC7-5419-DA156454BBA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1608" t="8482" r="17856" b="10268"/>
          <a:stretch>
            <a:fillRect/>
          </a:stretch>
        </xdr:blipFill>
        <xdr:spPr>
          <a:xfrm>
            <a:off x="777876" y="8234402"/>
            <a:ext cx="508000" cy="585165"/>
          </a:xfrm>
          <a:prstGeom prst="rect">
            <a:avLst/>
          </a:prstGeom>
        </xdr:spPr>
      </xdr:pic>
      <xdr:pic>
        <xdr:nvPicPr>
          <xdr:cNvPr id="86" name="Imagem 85">
            <a:extLst>
              <a:ext uri="{FF2B5EF4-FFF2-40B4-BE49-F238E27FC236}">
                <a16:creationId xmlns:a16="http://schemas.microsoft.com/office/drawing/2014/main" id="{953EE37F-0362-A9D2-CC7F-56D98706E00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1608" t="8482" r="17856" b="10268"/>
          <a:stretch>
            <a:fillRect/>
          </a:stretch>
        </xdr:blipFill>
        <xdr:spPr>
          <a:xfrm>
            <a:off x="1270001" y="8234402"/>
            <a:ext cx="508000" cy="58516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ojana1.nba@hotmail.com" TargetMode="External"/><Relationship Id="rId1" Type="http://schemas.openxmlformats.org/officeDocument/2006/relationships/hyperlink" Target="mailto:mychellemandu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31"/>
  <sheetViews>
    <sheetView showGridLines="0" tabSelected="1" view="pageBreakPreview" zoomScale="60" zoomScaleNormal="80" workbookViewId="0">
      <selection activeCell="K3" sqref="K3:Q3"/>
    </sheetView>
  </sheetViews>
  <sheetFormatPr defaultColWidth="8.85546875" defaultRowHeight="15" x14ac:dyDescent="0.25"/>
  <cols>
    <col min="1" max="1" width="3" style="2" customWidth="1"/>
    <col min="2" max="2" width="21.42578125" style="2" customWidth="1"/>
    <col min="3" max="3" width="8.42578125" style="2" customWidth="1"/>
    <col min="4" max="4" width="11.42578125" style="3" customWidth="1"/>
    <col min="5" max="5" width="42.5703125" style="3" customWidth="1"/>
    <col min="6" max="15" width="6.42578125" style="2" customWidth="1"/>
    <col min="16" max="16" width="15" style="2" customWidth="1"/>
    <col min="17" max="17" width="15.7109375" style="2" customWidth="1"/>
    <col min="18" max="18" width="15.85546875" style="2" bestFit="1" customWidth="1"/>
    <col min="19" max="19" width="11.7109375" style="2" bestFit="1" customWidth="1"/>
    <col min="20" max="20" width="13.42578125" style="2" customWidth="1"/>
    <col min="21" max="21" width="11.85546875" style="2" customWidth="1"/>
    <col min="22" max="22" width="14.28515625" style="2" customWidth="1"/>
    <col min="23" max="23" width="16.28515625" style="2" customWidth="1"/>
    <col min="24" max="16384" width="8.85546875" style="2"/>
  </cols>
  <sheetData>
    <row r="1" spans="2:22" ht="11.25" customHeight="1" thickBot="1" x14ac:dyDescent="0.3"/>
    <row r="2" spans="2:22" ht="68.25" customHeight="1" thickBot="1" x14ac:dyDescent="0.3">
      <c r="B2" s="32"/>
      <c r="C2" s="33"/>
      <c r="D2" s="33"/>
      <c r="E2" s="40"/>
      <c r="F2" s="41"/>
      <c r="G2" s="37" t="s">
        <v>14</v>
      </c>
      <c r="H2" s="38"/>
      <c r="I2" s="38"/>
      <c r="J2" s="38"/>
      <c r="K2" s="38"/>
      <c r="L2" s="38"/>
      <c r="M2" s="38"/>
      <c r="N2" s="38"/>
      <c r="O2" s="37" t="s">
        <v>20</v>
      </c>
      <c r="P2" s="38"/>
      <c r="Q2" s="38"/>
      <c r="R2" s="38"/>
      <c r="S2" s="38"/>
      <c r="T2" s="38"/>
      <c r="U2" s="39"/>
    </row>
    <row r="3" spans="2:22" ht="14.1" customHeight="1" thickBot="1" x14ac:dyDescent="0.3">
      <c r="B3" s="4" t="s">
        <v>21</v>
      </c>
      <c r="C3" s="34" t="s">
        <v>45</v>
      </c>
      <c r="D3" s="36"/>
      <c r="E3" s="36"/>
      <c r="F3" s="36"/>
      <c r="G3" s="36"/>
      <c r="H3" s="35"/>
      <c r="I3" s="34" t="s">
        <v>7</v>
      </c>
      <c r="J3" s="35"/>
      <c r="K3" s="42" t="s">
        <v>46</v>
      </c>
      <c r="L3" s="42"/>
      <c r="M3" s="42"/>
      <c r="N3" s="42"/>
      <c r="O3" s="42"/>
      <c r="P3" s="42"/>
      <c r="Q3" s="42"/>
      <c r="R3" s="5" t="s">
        <v>2</v>
      </c>
      <c r="S3" s="30" t="s">
        <v>49</v>
      </c>
      <c r="T3" s="30"/>
      <c r="U3" s="31"/>
    </row>
    <row r="4" spans="2:22" ht="14.1" customHeight="1" x14ac:dyDescent="0.25">
      <c r="B4" s="6" t="s">
        <v>3</v>
      </c>
      <c r="C4" s="26" t="s">
        <v>48</v>
      </c>
      <c r="D4" s="26"/>
      <c r="E4" s="26"/>
      <c r="F4" s="27" t="s">
        <v>22</v>
      </c>
      <c r="G4" s="28"/>
      <c r="H4" s="28"/>
      <c r="I4" s="29"/>
      <c r="J4" s="26"/>
      <c r="K4" s="26"/>
      <c r="L4" s="26"/>
      <c r="M4" s="26"/>
      <c r="N4" s="26"/>
      <c r="O4" s="26"/>
      <c r="P4" s="26"/>
      <c r="Q4" s="26"/>
      <c r="R4" s="7" t="s">
        <v>9</v>
      </c>
      <c r="S4" s="30" t="s">
        <v>47</v>
      </c>
      <c r="T4" s="30"/>
      <c r="U4" s="31"/>
    </row>
    <row r="5" spans="2:22" ht="14.1" customHeight="1" x14ac:dyDescent="0.25">
      <c r="B5" s="6" t="s">
        <v>4</v>
      </c>
      <c r="C5" s="27" t="s">
        <v>50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53"/>
      <c r="R5" s="7" t="s">
        <v>15</v>
      </c>
      <c r="S5" s="54" t="s">
        <v>51</v>
      </c>
      <c r="T5" s="28"/>
      <c r="U5" s="51"/>
    </row>
    <row r="6" spans="2:22" ht="14.1" customHeight="1" x14ac:dyDescent="0.25">
      <c r="B6" s="6" t="s">
        <v>5</v>
      </c>
      <c r="C6" s="27" t="s">
        <v>52</v>
      </c>
      <c r="D6" s="28"/>
      <c r="E6" s="28"/>
      <c r="F6" s="7" t="s">
        <v>6</v>
      </c>
      <c r="G6" s="26" t="s">
        <v>53</v>
      </c>
      <c r="H6" s="26"/>
      <c r="I6" s="27" t="s">
        <v>12</v>
      </c>
      <c r="J6" s="28"/>
      <c r="K6" s="27" t="s">
        <v>54</v>
      </c>
      <c r="L6" s="28"/>
      <c r="M6" s="53"/>
      <c r="N6" s="8" t="s">
        <v>10</v>
      </c>
      <c r="O6" s="27" t="s">
        <v>55</v>
      </c>
      <c r="P6" s="28"/>
      <c r="Q6" s="28"/>
      <c r="R6" s="28"/>
      <c r="S6" s="28"/>
      <c r="T6" s="28"/>
      <c r="U6" s="51"/>
    </row>
    <row r="7" spans="2:22" ht="14.1" customHeight="1" x14ac:dyDescent="0.25">
      <c r="B7" s="6" t="s">
        <v>11</v>
      </c>
      <c r="C7" s="8"/>
      <c r="D7" s="54" t="s">
        <v>56</v>
      </c>
      <c r="E7" s="28"/>
      <c r="F7" s="28"/>
      <c r="G7" s="28"/>
      <c r="H7" s="53"/>
      <c r="I7" s="27" t="s">
        <v>1</v>
      </c>
      <c r="J7" s="28"/>
      <c r="K7" s="28"/>
      <c r="L7" s="26" t="s">
        <v>57</v>
      </c>
      <c r="M7" s="26"/>
      <c r="N7" s="26"/>
      <c r="O7" s="26"/>
      <c r="P7" s="26"/>
      <c r="Q7" s="26"/>
      <c r="R7" s="26"/>
      <c r="S7" s="26"/>
      <c r="T7" s="26"/>
      <c r="U7" s="52"/>
    </row>
    <row r="8" spans="2:22" ht="14.1" customHeight="1" x14ac:dyDescent="0.25">
      <c r="B8" s="6" t="s">
        <v>13</v>
      </c>
      <c r="C8" s="8"/>
      <c r="D8" s="75"/>
      <c r="E8" s="28"/>
      <c r="F8" s="27" t="s">
        <v>23</v>
      </c>
      <c r="G8" s="28"/>
      <c r="H8" s="28"/>
      <c r="I8" s="26" t="s">
        <v>58</v>
      </c>
      <c r="J8" s="26"/>
      <c r="K8" s="26"/>
      <c r="L8" s="26"/>
      <c r="M8" s="26"/>
      <c r="N8" s="26"/>
      <c r="O8" s="26"/>
      <c r="P8" s="26"/>
      <c r="Q8" s="26"/>
      <c r="R8" s="7" t="s">
        <v>8</v>
      </c>
      <c r="S8" s="75">
        <v>46281</v>
      </c>
      <c r="T8" s="76"/>
      <c r="U8" s="77"/>
    </row>
    <row r="9" spans="2:22" ht="27.95" customHeight="1" thickBot="1" x14ac:dyDescent="0.3">
      <c r="B9" s="9" t="s">
        <v>26</v>
      </c>
      <c r="C9" s="49">
        <v>2.4</v>
      </c>
      <c r="D9" s="50"/>
      <c r="E9" s="72" t="s">
        <v>16</v>
      </c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4"/>
    </row>
    <row r="10" spans="2:22" ht="21.95" customHeight="1" thickBot="1" x14ac:dyDescent="0.3">
      <c r="B10" s="10" t="s">
        <v>17</v>
      </c>
      <c r="C10" s="11" t="s">
        <v>18</v>
      </c>
      <c r="D10" s="1" t="s">
        <v>19</v>
      </c>
      <c r="E10" s="1" t="s">
        <v>28</v>
      </c>
      <c r="F10" s="55" t="s">
        <v>27</v>
      </c>
      <c r="G10" s="56"/>
      <c r="H10" s="56"/>
      <c r="I10" s="57"/>
      <c r="J10" s="61" t="s">
        <v>29</v>
      </c>
      <c r="K10" s="62"/>
      <c r="L10" s="63"/>
      <c r="M10" s="55" t="s">
        <v>30</v>
      </c>
      <c r="N10" s="56"/>
      <c r="O10" s="56"/>
      <c r="P10" s="57"/>
      <c r="Q10" s="11" t="s">
        <v>0</v>
      </c>
      <c r="R10" s="11" t="s">
        <v>24</v>
      </c>
      <c r="S10" s="12" t="s">
        <v>42</v>
      </c>
      <c r="T10" s="55" t="s">
        <v>25</v>
      </c>
      <c r="U10" s="94"/>
    </row>
    <row r="11" spans="2:22" ht="69.95" customHeight="1" x14ac:dyDescent="0.25">
      <c r="B11" s="16"/>
      <c r="C11" s="17" t="s">
        <v>36</v>
      </c>
      <c r="D11" s="18" t="s">
        <v>37</v>
      </c>
      <c r="E11" s="18" t="s">
        <v>43</v>
      </c>
      <c r="F11" s="58" t="s">
        <v>33</v>
      </c>
      <c r="G11" s="59"/>
      <c r="H11" s="59"/>
      <c r="I11" s="60"/>
      <c r="J11" s="64" t="s">
        <v>31</v>
      </c>
      <c r="K11" s="65"/>
      <c r="L11" s="66"/>
      <c r="M11" s="58"/>
      <c r="N11" s="59"/>
      <c r="O11" s="59"/>
      <c r="P11" s="60"/>
      <c r="Q11" s="23">
        <f>R11/$C$9</f>
        <v>33.329166666666666</v>
      </c>
      <c r="R11" s="24">
        <v>79.989999999999995</v>
      </c>
      <c r="S11" s="19">
        <v>5</v>
      </c>
      <c r="T11" s="83">
        <f>Q11*S11</f>
        <v>166.64583333333331</v>
      </c>
      <c r="U11" s="84"/>
      <c r="V11" s="20"/>
    </row>
    <row r="12" spans="2:22" ht="69.95" customHeight="1" x14ac:dyDescent="0.25">
      <c r="B12" s="16"/>
      <c r="C12" s="17" t="s">
        <v>36</v>
      </c>
      <c r="D12" s="18" t="s">
        <v>37</v>
      </c>
      <c r="E12" s="18" t="s">
        <v>43</v>
      </c>
      <c r="F12" s="80" t="s">
        <v>33</v>
      </c>
      <c r="G12" s="81"/>
      <c r="H12" s="81"/>
      <c r="I12" s="82"/>
      <c r="J12" s="43" t="s">
        <v>35</v>
      </c>
      <c r="K12" s="44"/>
      <c r="L12" s="45"/>
      <c r="M12" s="80"/>
      <c r="N12" s="81"/>
      <c r="O12" s="81"/>
      <c r="P12" s="82"/>
      <c r="Q12" s="23">
        <f>R12/$C$9</f>
        <v>33.329166666666666</v>
      </c>
      <c r="R12" s="24">
        <v>79.989999999999995</v>
      </c>
      <c r="S12" s="19">
        <v>10</v>
      </c>
      <c r="T12" s="78">
        <f>Q12*S12</f>
        <v>333.29166666666663</v>
      </c>
      <c r="U12" s="79"/>
      <c r="V12" s="20"/>
    </row>
    <row r="13" spans="2:22" ht="69.95" customHeight="1" x14ac:dyDescent="0.25">
      <c r="B13" s="16"/>
      <c r="C13" s="17" t="s">
        <v>36</v>
      </c>
      <c r="D13" s="18" t="s">
        <v>37</v>
      </c>
      <c r="E13" s="18" t="s">
        <v>43</v>
      </c>
      <c r="F13" s="80" t="s">
        <v>33</v>
      </c>
      <c r="G13" s="81"/>
      <c r="H13" s="81"/>
      <c r="I13" s="82"/>
      <c r="J13" s="46" t="s">
        <v>32</v>
      </c>
      <c r="K13" s="47"/>
      <c r="L13" s="48"/>
      <c r="M13" s="80"/>
      <c r="N13" s="81"/>
      <c r="O13" s="81"/>
      <c r="P13" s="82"/>
      <c r="Q13" s="23">
        <f t="shared" ref="Q13:Q22" si="0">R13/$C$9</f>
        <v>33.329166666666666</v>
      </c>
      <c r="R13" s="24">
        <v>79.989999999999995</v>
      </c>
      <c r="S13" s="19">
        <v>10</v>
      </c>
      <c r="T13" s="78">
        <f>Q13*S13</f>
        <v>333.29166666666663</v>
      </c>
      <c r="U13" s="79"/>
      <c r="V13" s="20"/>
    </row>
    <row r="14" spans="2:22" ht="69.95" customHeight="1" x14ac:dyDescent="0.25">
      <c r="B14" s="16"/>
      <c r="C14" s="17" t="s">
        <v>36</v>
      </c>
      <c r="D14" s="18" t="s">
        <v>38</v>
      </c>
      <c r="E14" s="18" t="s">
        <v>43</v>
      </c>
      <c r="F14" s="96" t="s">
        <v>34</v>
      </c>
      <c r="G14" s="97"/>
      <c r="H14" s="97"/>
      <c r="I14" s="98"/>
      <c r="J14" s="99" t="s">
        <v>31</v>
      </c>
      <c r="K14" s="99"/>
      <c r="L14" s="99"/>
      <c r="M14" s="95"/>
      <c r="N14" s="95"/>
      <c r="O14" s="95"/>
      <c r="P14" s="95"/>
      <c r="Q14" s="23">
        <f t="shared" si="0"/>
        <v>33.329166666666666</v>
      </c>
      <c r="R14" s="24">
        <v>79.989999999999995</v>
      </c>
      <c r="S14" s="19">
        <v>5</v>
      </c>
      <c r="T14" s="70">
        <f t="shared" ref="T14:T20" si="1">Q14*S14</f>
        <v>166.64583333333331</v>
      </c>
      <c r="U14" s="71"/>
      <c r="V14" s="20"/>
    </row>
    <row r="15" spans="2:22" ht="69.95" customHeight="1" x14ac:dyDescent="0.25">
      <c r="B15" s="16"/>
      <c r="C15" s="17" t="s">
        <v>36</v>
      </c>
      <c r="D15" s="18" t="s">
        <v>38</v>
      </c>
      <c r="E15" s="18" t="s">
        <v>43</v>
      </c>
      <c r="F15" s="80" t="s">
        <v>34</v>
      </c>
      <c r="G15" s="81"/>
      <c r="H15" s="81"/>
      <c r="I15" s="82"/>
      <c r="J15" s="43" t="s">
        <v>35</v>
      </c>
      <c r="K15" s="44"/>
      <c r="L15" s="45"/>
      <c r="M15" s="95"/>
      <c r="N15" s="95"/>
      <c r="O15" s="95"/>
      <c r="P15" s="95"/>
      <c r="Q15" s="23">
        <f t="shared" si="0"/>
        <v>33.329166666666666</v>
      </c>
      <c r="R15" s="24">
        <v>79.989999999999995</v>
      </c>
      <c r="S15" s="19">
        <v>10</v>
      </c>
      <c r="T15" s="70">
        <f t="shared" ref="T15:T16" si="2">Q15*S15</f>
        <v>333.29166666666663</v>
      </c>
      <c r="U15" s="71"/>
      <c r="V15" s="20"/>
    </row>
    <row r="16" spans="2:22" ht="69.95" customHeight="1" x14ac:dyDescent="0.25">
      <c r="B16" s="16"/>
      <c r="C16" s="17" t="s">
        <v>36</v>
      </c>
      <c r="D16" s="18" t="s">
        <v>38</v>
      </c>
      <c r="E16" s="18" t="s">
        <v>43</v>
      </c>
      <c r="F16" s="95" t="s">
        <v>34</v>
      </c>
      <c r="G16" s="95"/>
      <c r="H16" s="95"/>
      <c r="I16" s="95"/>
      <c r="J16" s="99" t="s">
        <v>32</v>
      </c>
      <c r="K16" s="99"/>
      <c r="L16" s="99"/>
      <c r="M16" s="95"/>
      <c r="N16" s="95"/>
      <c r="O16" s="95"/>
      <c r="P16" s="95"/>
      <c r="Q16" s="23">
        <f t="shared" si="0"/>
        <v>33.329166666666666</v>
      </c>
      <c r="R16" s="24">
        <v>79.989999999999995</v>
      </c>
      <c r="S16" s="19">
        <v>10</v>
      </c>
      <c r="T16" s="70">
        <f t="shared" si="2"/>
        <v>333.29166666666663</v>
      </c>
      <c r="U16" s="71"/>
      <c r="V16" s="20"/>
    </row>
    <row r="17" spans="2:23" ht="69.95" customHeight="1" x14ac:dyDescent="0.25">
      <c r="B17" s="16"/>
      <c r="C17" s="17" t="s">
        <v>39</v>
      </c>
      <c r="D17" s="18" t="s">
        <v>40</v>
      </c>
      <c r="E17" s="18" t="s">
        <v>44</v>
      </c>
      <c r="F17" s="80" t="s">
        <v>33</v>
      </c>
      <c r="G17" s="81"/>
      <c r="H17" s="81"/>
      <c r="I17" s="82"/>
      <c r="J17" s="99" t="s">
        <v>31</v>
      </c>
      <c r="K17" s="99"/>
      <c r="L17" s="99"/>
      <c r="M17" s="80"/>
      <c r="N17" s="81"/>
      <c r="O17" s="81"/>
      <c r="P17" s="82"/>
      <c r="Q17" s="23">
        <f t="shared" si="0"/>
        <v>41.662500000000001</v>
      </c>
      <c r="R17" s="24">
        <v>99.99</v>
      </c>
      <c r="S17" s="19">
        <v>10</v>
      </c>
      <c r="T17" s="70">
        <f t="shared" ref="T17" si="3">Q17*S17</f>
        <v>416.625</v>
      </c>
      <c r="U17" s="71"/>
      <c r="V17" s="20"/>
    </row>
    <row r="18" spans="2:23" ht="69.95" customHeight="1" x14ac:dyDescent="0.25">
      <c r="B18" s="16"/>
      <c r="C18" s="17" t="s">
        <v>39</v>
      </c>
      <c r="D18" s="18" t="s">
        <v>40</v>
      </c>
      <c r="E18" s="18" t="s">
        <v>44</v>
      </c>
      <c r="F18" s="80" t="s">
        <v>33</v>
      </c>
      <c r="G18" s="81"/>
      <c r="H18" s="81"/>
      <c r="I18" s="82"/>
      <c r="J18" s="43" t="s">
        <v>35</v>
      </c>
      <c r="K18" s="44"/>
      <c r="L18" s="45"/>
      <c r="M18" s="80"/>
      <c r="N18" s="81"/>
      <c r="O18" s="81"/>
      <c r="P18" s="82"/>
      <c r="Q18" s="23">
        <f t="shared" si="0"/>
        <v>41.662500000000001</v>
      </c>
      <c r="R18" s="24">
        <v>99.99</v>
      </c>
      <c r="S18" s="19">
        <v>20</v>
      </c>
      <c r="T18" s="70">
        <f t="shared" si="1"/>
        <v>833.25</v>
      </c>
      <c r="U18" s="71"/>
      <c r="V18" s="20"/>
    </row>
    <row r="19" spans="2:23" ht="69.95" customHeight="1" x14ac:dyDescent="0.25">
      <c r="B19" s="16"/>
      <c r="C19" s="17" t="s">
        <v>39</v>
      </c>
      <c r="D19" s="18" t="s">
        <v>40</v>
      </c>
      <c r="E19" s="18" t="s">
        <v>44</v>
      </c>
      <c r="F19" s="80" t="s">
        <v>33</v>
      </c>
      <c r="G19" s="81"/>
      <c r="H19" s="81"/>
      <c r="I19" s="82"/>
      <c r="J19" s="46" t="s">
        <v>32</v>
      </c>
      <c r="K19" s="47"/>
      <c r="L19" s="48"/>
      <c r="M19" s="80"/>
      <c r="N19" s="81"/>
      <c r="O19" s="81"/>
      <c r="P19" s="82"/>
      <c r="Q19" s="23">
        <f t="shared" si="0"/>
        <v>41.662500000000001</v>
      </c>
      <c r="R19" s="24">
        <v>99.99</v>
      </c>
      <c r="S19" s="19">
        <v>20</v>
      </c>
      <c r="T19" s="70">
        <f t="shared" ref="T19" si="4">Q19*S19</f>
        <v>833.25</v>
      </c>
      <c r="U19" s="71"/>
      <c r="V19" s="20"/>
    </row>
    <row r="20" spans="2:23" ht="69.95" customHeight="1" x14ac:dyDescent="0.25">
      <c r="B20" s="16"/>
      <c r="C20" s="17" t="s">
        <v>39</v>
      </c>
      <c r="D20" s="18" t="s">
        <v>41</v>
      </c>
      <c r="E20" s="18" t="s">
        <v>44</v>
      </c>
      <c r="F20" s="96" t="s">
        <v>34</v>
      </c>
      <c r="G20" s="97"/>
      <c r="H20" s="97"/>
      <c r="I20" s="98"/>
      <c r="J20" s="99" t="s">
        <v>31</v>
      </c>
      <c r="K20" s="99"/>
      <c r="L20" s="99"/>
      <c r="M20" s="80"/>
      <c r="N20" s="81"/>
      <c r="O20" s="81"/>
      <c r="P20" s="82"/>
      <c r="Q20" s="23">
        <f t="shared" si="0"/>
        <v>41.662500000000001</v>
      </c>
      <c r="R20" s="24">
        <v>99.99</v>
      </c>
      <c r="S20" s="19">
        <v>10</v>
      </c>
      <c r="T20" s="70">
        <f t="shared" si="1"/>
        <v>416.625</v>
      </c>
      <c r="U20" s="71"/>
      <c r="V20" s="20"/>
    </row>
    <row r="21" spans="2:23" ht="69.95" customHeight="1" x14ac:dyDescent="0.25">
      <c r="B21" s="16"/>
      <c r="C21" s="17" t="s">
        <v>39</v>
      </c>
      <c r="D21" s="18" t="s">
        <v>41</v>
      </c>
      <c r="E21" s="18" t="s">
        <v>44</v>
      </c>
      <c r="F21" s="80" t="s">
        <v>34</v>
      </c>
      <c r="G21" s="81"/>
      <c r="H21" s="81"/>
      <c r="I21" s="82"/>
      <c r="J21" s="43" t="s">
        <v>35</v>
      </c>
      <c r="K21" s="44"/>
      <c r="L21" s="45"/>
      <c r="M21" s="80"/>
      <c r="N21" s="81"/>
      <c r="O21" s="81"/>
      <c r="P21" s="82"/>
      <c r="Q21" s="23">
        <f t="shared" si="0"/>
        <v>41.662500000000001</v>
      </c>
      <c r="R21" s="24">
        <v>99.99</v>
      </c>
      <c r="S21" s="19">
        <v>20</v>
      </c>
      <c r="T21" s="78">
        <f t="shared" ref="T21:T22" si="5">Q21*S21</f>
        <v>833.25</v>
      </c>
      <c r="U21" s="79"/>
      <c r="V21" s="20"/>
    </row>
    <row r="22" spans="2:23" ht="69.95" customHeight="1" x14ac:dyDescent="0.25">
      <c r="B22" s="16"/>
      <c r="C22" s="17" t="s">
        <v>39</v>
      </c>
      <c r="D22" s="18" t="s">
        <v>41</v>
      </c>
      <c r="E22" s="18" t="s">
        <v>44</v>
      </c>
      <c r="F22" s="95" t="s">
        <v>34</v>
      </c>
      <c r="G22" s="95"/>
      <c r="H22" s="95"/>
      <c r="I22" s="95"/>
      <c r="J22" s="67" t="s">
        <v>32</v>
      </c>
      <c r="K22" s="68"/>
      <c r="L22" s="69"/>
      <c r="M22" s="80"/>
      <c r="N22" s="81"/>
      <c r="O22" s="81"/>
      <c r="P22" s="82"/>
      <c r="Q22" s="23">
        <f t="shared" si="0"/>
        <v>41.662500000000001</v>
      </c>
      <c r="R22" s="24">
        <v>99.99</v>
      </c>
      <c r="S22" s="19">
        <v>20</v>
      </c>
      <c r="T22" s="78">
        <f t="shared" si="5"/>
        <v>833.25</v>
      </c>
      <c r="U22" s="79"/>
      <c r="V22" s="20"/>
      <c r="W22" s="25"/>
    </row>
    <row r="23" spans="2:23" x14ac:dyDescent="0.25">
      <c r="B23" s="88"/>
      <c r="C23" s="89"/>
      <c r="D23" s="90"/>
      <c r="E23" s="13"/>
      <c r="F23" s="93"/>
      <c r="G23" s="89"/>
      <c r="H23" s="89"/>
      <c r="I23" s="90"/>
      <c r="J23" s="93"/>
      <c r="K23" s="89"/>
      <c r="L23" s="90"/>
      <c r="M23" s="93"/>
      <c r="N23" s="89"/>
      <c r="O23" s="89"/>
      <c r="P23" s="90"/>
      <c r="Q23" s="14"/>
      <c r="R23" s="14"/>
      <c r="S23" s="14">
        <f>SUM(S11:S22)</f>
        <v>150</v>
      </c>
      <c r="T23" s="91">
        <f>SUM(T11:U22)</f>
        <v>5832.708333333333</v>
      </c>
      <c r="U23" s="92"/>
      <c r="W23" s="15"/>
    </row>
    <row r="24" spans="2:23" ht="9" customHeight="1" thickBot="1" x14ac:dyDescent="0.3">
      <c r="B24" s="85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7"/>
    </row>
    <row r="26" spans="2:23" x14ac:dyDescent="0.25">
      <c r="T26" s="15"/>
    </row>
    <row r="27" spans="2:23" s="21" customFormat="1" x14ac:dyDescent="0.25">
      <c r="D27" s="22"/>
      <c r="E27" s="22"/>
    </row>
    <row r="29" spans="2:23" x14ac:dyDescent="0.25">
      <c r="Q29" s="20"/>
      <c r="R29" s="20"/>
    </row>
    <row r="30" spans="2:23" x14ac:dyDescent="0.25">
      <c r="Q30" s="20"/>
      <c r="R30" s="20"/>
    </row>
    <row r="31" spans="2:23" x14ac:dyDescent="0.25">
      <c r="Q31" s="20"/>
      <c r="R31" s="20"/>
    </row>
  </sheetData>
  <mergeCells count="86">
    <mergeCell ref="M20:P20"/>
    <mergeCell ref="F19:I19"/>
    <mergeCell ref="J19:L19"/>
    <mergeCell ref="M14:P14"/>
    <mergeCell ref="M15:P15"/>
    <mergeCell ref="M16:P16"/>
    <mergeCell ref="F20:I20"/>
    <mergeCell ref="J20:L20"/>
    <mergeCell ref="F18:I18"/>
    <mergeCell ref="J18:L18"/>
    <mergeCell ref="F17:I17"/>
    <mergeCell ref="J17:L17"/>
    <mergeCell ref="J15:L15"/>
    <mergeCell ref="F16:I16"/>
    <mergeCell ref="J16:L16"/>
    <mergeCell ref="T19:U19"/>
    <mergeCell ref="M17:P17"/>
    <mergeCell ref="M18:P18"/>
    <mergeCell ref="M19:P19"/>
    <mergeCell ref="M12:P12"/>
    <mergeCell ref="M13:P13"/>
    <mergeCell ref="T10:U10"/>
    <mergeCell ref="F22:I22"/>
    <mergeCell ref="M23:P23"/>
    <mergeCell ref="M21:P21"/>
    <mergeCell ref="M22:P22"/>
    <mergeCell ref="F21:I21"/>
    <mergeCell ref="F14:I14"/>
    <mergeCell ref="J14:L14"/>
    <mergeCell ref="F15:I15"/>
    <mergeCell ref="T18:U18"/>
    <mergeCell ref="T20:U20"/>
    <mergeCell ref="T17:U17"/>
    <mergeCell ref="T14:U14"/>
    <mergeCell ref="T22:U22"/>
    <mergeCell ref="T21:U21"/>
    <mergeCell ref="J21:L21"/>
    <mergeCell ref="B24:U24"/>
    <mergeCell ref="B23:D23"/>
    <mergeCell ref="T23:U23"/>
    <mergeCell ref="F23:I23"/>
    <mergeCell ref="J23:L23"/>
    <mergeCell ref="J22:L22"/>
    <mergeCell ref="T15:U15"/>
    <mergeCell ref="T16:U16"/>
    <mergeCell ref="C5:Q5"/>
    <mergeCell ref="S5:U5"/>
    <mergeCell ref="E9:U9"/>
    <mergeCell ref="S8:U8"/>
    <mergeCell ref="D8:E8"/>
    <mergeCell ref="T12:U12"/>
    <mergeCell ref="T13:U13"/>
    <mergeCell ref="F10:I10"/>
    <mergeCell ref="F11:I11"/>
    <mergeCell ref="F12:I12"/>
    <mergeCell ref="F13:I13"/>
    <mergeCell ref="I8:Q8"/>
    <mergeCell ref="T11:U11"/>
    <mergeCell ref="J12:L12"/>
    <mergeCell ref="J13:L13"/>
    <mergeCell ref="C9:D9"/>
    <mergeCell ref="G6:H6"/>
    <mergeCell ref="O6:U6"/>
    <mergeCell ref="I7:K7"/>
    <mergeCell ref="L7:U7"/>
    <mergeCell ref="I6:J6"/>
    <mergeCell ref="K6:M6"/>
    <mergeCell ref="C6:E6"/>
    <mergeCell ref="D7:H7"/>
    <mergeCell ref="F8:H8"/>
    <mergeCell ref="M10:P10"/>
    <mergeCell ref="M11:P11"/>
    <mergeCell ref="J10:L10"/>
    <mergeCell ref="J11:L11"/>
    <mergeCell ref="C4:E4"/>
    <mergeCell ref="F4:H4"/>
    <mergeCell ref="I4:Q4"/>
    <mergeCell ref="S4:U4"/>
    <mergeCell ref="B2:D2"/>
    <mergeCell ref="I3:J3"/>
    <mergeCell ref="C3:H3"/>
    <mergeCell ref="O2:U2"/>
    <mergeCell ref="E2:F2"/>
    <mergeCell ref="G2:N2"/>
    <mergeCell ref="K3:Q3"/>
    <mergeCell ref="S3:U3"/>
  </mergeCells>
  <phoneticPr fontId="2" type="noConversion"/>
  <hyperlinks>
    <hyperlink ref="S5" r:id="rId1" xr:uid="{00000000-0004-0000-0000-000000000000}"/>
    <hyperlink ref="D7" r:id="rId2" xr:uid="{00000000-0004-0000-0000-000001000000}"/>
  </hyperlinks>
  <pageMargins left="0.51181102362204722" right="0" top="0.78740157480314965" bottom="0.78740157480314965" header="0.31496062992125984" footer="0.31496062992125984"/>
  <pageSetup paperSize="9" scale="56" fitToHeight="0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</vt:lpstr>
      <vt:lpstr>'1'!Area_de_impressao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Bianca Beraldi</cp:lastModifiedBy>
  <cp:lastPrinted>2026-09-17T09:52:09Z</cp:lastPrinted>
  <dcterms:created xsi:type="dcterms:W3CDTF">2010-08-02T13:51:18Z</dcterms:created>
  <dcterms:modified xsi:type="dcterms:W3CDTF">2026-09-17T09:52:59Z</dcterms:modified>
</cp:coreProperties>
</file>