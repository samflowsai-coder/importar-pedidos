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razielly.araujo\Downloads\"/>
    </mc:Choice>
  </mc:AlternateContent>
  <xr:revisionPtr revIDLastSave="0" documentId="8_{CFDC188D-C19B-450D-96D5-E9411CC29EA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ulmão AW" sheetId="4" r:id="rId1"/>
    <sheet name="Pulmão AF" sheetId="3" r:id="rId2"/>
    <sheet name="Magic Feet" sheetId="6" r:id="rId3"/>
  </sheets>
  <definedNames>
    <definedName name="_xlnm._FilterDatabase" localSheetId="2" hidden="1">'Magic Feet'!$B$10:$U$66</definedName>
    <definedName name="_xlnm._FilterDatabase" localSheetId="1" hidden="1">'Pulmão AF'!$B$10:$U$54</definedName>
    <definedName name="_xlnm._FilterDatabase" localSheetId="0" hidden="1">'Pulmão AW'!$B$10:$U$47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6" i="6" l="1"/>
  <c r="T64" i="6" l="1"/>
  <c r="T63" i="6"/>
  <c r="T62" i="6"/>
  <c r="T61" i="6"/>
  <c r="T60" i="6"/>
  <c r="T58" i="6"/>
  <c r="T57" i="6"/>
  <c r="T56" i="6"/>
  <c r="T55" i="6"/>
  <c r="T54" i="6"/>
  <c r="T52" i="6"/>
  <c r="T51" i="6"/>
  <c r="T50" i="6"/>
  <c r="T49" i="6"/>
  <c r="T48" i="6"/>
  <c r="T46" i="6"/>
  <c r="T45" i="6"/>
  <c r="T44" i="6"/>
  <c r="T43" i="6"/>
  <c r="T42" i="6"/>
  <c r="T40" i="6"/>
  <c r="T39" i="6"/>
  <c r="T38" i="6"/>
  <c r="T37" i="6"/>
  <c r="T36" i="6"/>
  <c r="T34" i="6"/>
  <c r="T33" i="6"/>
  <c r="T32" i="6"/>
  <c r="T31" i="6"/>
  <c r="T30" i="6"/>
  <c r="T28" i="6"/>
  <c r="T27" i="6"/>
  <c r="T26" i="6"/>
  <c r="T25" i="6"/>
  <c r="T24" i="6"/>
  <c r="T22" i="6"/>
  <c r="T21" i="6"/>
  <c r="T20" i="6"/>
  <c r="T19" i="6"/>
  <c r="T18" i="6"/>
  <c r="T16" i="6"/>
  <c r="T15" i="6"/>
  <c r="T14" i="6"/>
  <c r="T13" i="6"/>
  <c r="T12" i="6"/>
  <c r="T66" i="6" l="1"/>
  <c r="T45" i="4" l="1"/>
  <c r="T41" i="4"/>
  <c r="T37" i="4"/>
  <c r="T36" i="4"/>
  <c r="T35" i="4"/>
  <c r="T33" i="4"/>
  <c r="T31" i="4"/>
  <c r="T30" i="4"/>
  <c r="T28" i="4"/>
  <c r="T27" i="4"/>
  <c r="T26" i="4"/>
  <c r="T25" i="4"/>
  <c r="T24" i="4"/>
  <c r="T23" i="4"/>
  <c r="T22" i="4"/>
  <c r="T21" i="4"/>
  <c r="T20" i="4"/>
  <c r="T18" i="4"/>
  <c r="T17" i="4"/>
  <c r="T14" i="4"/>
  <c r="T34" i="4" l="1"/>
  <c r="T42" i="4"/>
  <c r="T16" i="4"/>
  <c r="T32" i="4"/>
  <c r="T38" i="4"/>
  <c r="T43" i="4"/>
  <c r="T39" i="4"/>
  <c r="T44" i="4"/>
  <c r="T29" i="4"/>
  <c r="T40" i="4"/>
  <c r="T12" i="4"/>
  <c r="T13" i="4" l="1"/>
  <c r="T47" i="4" s="1"/>
  <c r="S47" i="4"/>
  <c r="T52" i="3" l="1"/>
  <c r="T51" i="3"/>
  <c r="T49" i="3"/>
  <c r="T48" i="3"/>
  <c r="T46" i="3"/>
  <c r="T45" i="3"/>
  <c r="T44" i="3"/>
  <c r="T43" i="3"/>
  <c r="T42" i="3"/>
  <c r="T40" i="3"/>
  <c r="T39" i="3"/>
  <c r="T38" i="3"/>
  <c r="T37" i="3"/>
  <c r="T36" i="3"/>
  <c r="T34" i="3"/>
  <c r="T33" i="3"/>
  <c r="T32" i="3"/>
  <c r="T30" i="3"/>
  <c r="T29" i="3"/>
  <c r="T28" i="3"/>
  <c r="T26" i="3"/>
  <c r="T25" i="3"/>
  <c r="T24" i="3"/>
  <c r="T22" i="3"/>
  <c r="T21" i="3"/>
  <c r="T20" i="3"/>
  <c r="T18" i="3"/>
  <c r="T17" i="3" l="1"/>
  <c r="T13" i="3" l="1"/>
  <c r="S54" i="3" l="1"/>
  <c r="T14" i="3"/>
  <c r="T12" i="3"/>
  <c r="T16" i="3"/>
  <c r="T54" i="3" l="1"/>
</calcChain>
</file>

<file path=xl/sharedStrings.xml><?xml version="1.0" encoding="utf-8"?>
<sst xmlns="http://schemas.openxmlformats.org/spreadsheetml/2006/main" count="719" uniqueCount="173">
  <si>
    <t>CUSTO</t>
  </si>
  <si>
    <t>CONTATO FINANCEIRO:</t>
  </si>
  <si>
    <t xml:space="preserve">CONTATO: </t>
  </si>
  <si>
    <t xml:space="preserve">CNPJ: </t>
  </si>
  <si>
    <t xml:space="preserve">ENDEREÇO:  </t>
  </si>
  <si>
    <t xml:space="preserve">CIDADE:  </t>
  </si>
  <si>
    <t xml:space="preserve">UF: </t>
  </si>
  <si>
    <t>FANTASIA:</t>
  </si>
  <si>
    <t>DATA DO PEDIDO:</t>
  </si>
  <si>
    <t>TELEFONE:</t>
  </si>
  <si>
    <t>CEP:</t>
  </si>
  <si>
    <t xml:space="preserve">E-MAIL PARA NFE: </t>
  </si>
  <si>
    <t>BAIRRO:</t>
  </si>
  <si>
    <t xml:space="preserve">DATA DE FATURAMENTO: </t>
  </si>
  <si>
    <t>E-MAIL COMPRAS:</t>
  </si>
  <si>
    <t>IMAGEM</t>
  </si>
  <si>
    <t>REF.</t>
  </si>
  <si>
    <t>REF COR</t>
  </si>
  <si>
    <t xml:space="preserve">RAZÃO SOCIAL:  </t>
  </si>
  <si>
    <t xml:space="preserve">INSC. ESTADUAL:  </t>
  </si>
  <si>
    <t xml:space="preserve">COND. DE PGTO. : </t>
  </si>
  <si>
    <t>SUGESTÃO</t>
  </si>
  <si>
    <t>TOTAL R$</t>
  </si>
  <si>
    <t>001</t>
  </si>
  <si>
    <t>002</t>
  </si>
  <si>
    <t>DESCRIÇÃO COR</t>
  </si>
  <si>
    <t>DESCRIÇÃO PRODUTO</t>
  </si>
  <si>
    <t>TAMANHOS</t>
  </si>
  <si>
    <t>39 - 44</t>
  </si>
  <si>
    <t>OBS</t>
  </si>
  <si>
    <t>100</t>
  </si>
  <si>
    <t>900</t>
  </si>
  <si>
    <t>101</t>
  </si>
  <si>
    <t>200</t>
  </si>
  <si>
    <t>300</t>
  </si>
  <si>
    <t>102</t>
  </si>
  <si>
    <t>33 - 38</t>
  </si>
  <si>
    <t>KIT 3</t>
  </si>
  <si>
    <t>KIT 2</t>
  </si>
  <si>
    <t>KIT 3 PARES - SAPATILHA</t>
  </si>
  <si>
    <t>KIT 3 PARES - CANO MEDIO</t>
  </si>
  <si>
    <t>KIT 3 PARES - CANO LONGO</t>
  </si>
  <si>
    <t>KIT 2 PARES - CANO EXTRA LONGO</t>
  </si>
  <si>
    <t>BRANCO</t>
  </si>
  <si>
    <t>SORTIDO (BRANCO/CINZA/PRETO)</t>
  </si>
  <si>
    <t>PRETO</t>
  </si>
  <si>
    <t>MARRON / OFFWHITE</t>
  </si>
  <si>
    <t>VERDE / OFFWHITE</t>
  </si>
  <si>
    <t>60 Dias</t>
  </si>
  <si>
    <t>OBS:</t>
  </si>
  <si>
    <t>TOTAL KITS</t>
  </si>
  <si>
    <t>KIT 3 PARES - CANO BAIXO TEC.</t>
  </si>
  <si>
    <t>AFK3S-A-100-3338</t>
  </si>
  <si>
    <t>AFK3S-A-900-3338</t>
  </si>
  <si>
    <t>AFK3S-A-001-3338</t>
  </si>
  <si>
    <t>AFK3S-A-100-3944</t>
  </si>
  <si>
    <t>AFK3S-A-900-3944</t>
  </si>
  <si>
    <t>AFK3S-A-001-3944</t>
  </si>
  <si>
    <t>AFK3C-M-100-3338</t>
  </si>
  <si>
    <t>AFK3C-M-900-3338</t>
  </si>
  <si>
    <t>AFK3C-M-001-3338</t>
  </si>
  <si>
    <t>AFK3C-M-100-3944</t>
  </si>
  <si>
    <t>AFK3C-M-900-3944</t>
  </si>
  <si>
    <t>AFK3C-M-001-3944</t>
  </si>
  <si>
    <t>AFK3C-L-100-3338</t>
  </si>
  <si>
    <t>AFK3C-L-900-3338</t>
  </si>
  <si>
    <t>AFK3C-L-001-3338</t>
  </si>
  <si>
    <t>AFK3C-L-100-3944</t>
  </si>
  <si>
    <t>AFK3C-L-900-3944</t>
  </si>
  <si>
    <t>AFK3C-L-001-3944</t>
  </si>
  <si>
    <t>AFK2E-L-100-3338</t>
  </si>
  <si>
    <t>AFK2E-L-101-3338</t>
  </si>
  <si>
    <t>AFK2E-L-001-3338</t>
  </si>
  <si>
    <t>AFK2E-L-200-3338</t>
  </si>
  <si>
    <t>AFK2E-L-300-3338</t>
  </si>
  <si>
    <t>AFK2E-L-100-3944</t>
  </si>
  <si>
    <t>AFK2E-L-101-3944</t>
  </si>
  <si>
    <t>AFK2E-L-001-3944</t>
  </si>
  <si>
    <t>AFK2E-L-200-3944</t>
  </si>
  <si>
    <t>AFK2E-L-300-3944</t>
  </si>
  <si>
    <t>AFK3C-B-102-3338</t>
  </si>
  <si>
    <t>AFK3C-B-101-3338</t>
  </si>
  <si>
    <t>AFK3C-B-102-3944</t>
  </si>
  <si>
    <t>AFK3C-B-101-3944</t>
  </si>
  <si>
    <t>BRANCO/PRETO</t>
  </si>
  <si>
    <t>PRETO/CINZA</t>
  </si>
  <si>
    <t>PEDIDO PULMÃO</t>
  </si>
  <si>
    <t>AWK3S-A-100-3338</t>
  </si>
  <si>
    <t>AWK3S-A-900-3338</t>
  </si>
  <si>
    <t>AWK3S-A-001-3338</t>
  </si>
  <si>
    <t>AWK3S-A-100-3944</t>
  </si>
  <si>
    <t>AWK3S-A-900-3944</t>
  </si>
  <si>
    <t>AWK3S-A-001-3944</t>
  </si>
  <si>
    <t>AWK3C-M-100-3338</t>
  </si>
  <si>
    <t>AWK3C-M-900-3338</t>
  </si>
  <si>
    <t>AWK3C-M-001-3338</t>
  </si>
  <si>
    <t>AWK3C-M-100-3944</t>
  </si>
  <si>
    <t>AWK3C-M-900-3944</t>
  </si>
  <si>
    <t>AWK3C-M-001-3944</t>
  </si>
  <si>
    <t>AWK3C-L-100-3338</t>
  </si>
  <si>
    <t>AWK3C-L-900-3338</t>
  </si>
  <si>
    <t>AWK3C-L-001-3338</t>
  </si>
  <si>
    <t>AWK3C-L-100-3944</t>
  </si>
  <si>
    <t>AWK3C-L-900-3944</t>
  </si>
  <si>
    <t>AWK3C-L-001-3944</t>
  </si>
  <si>
    <t>AWK2E-L-100-3338</t>
  </si>
  <si>
    <t>AWK2E-L-101-3338</t>
  </si>
  <si>
    <t>CINZA</t>
  </si>
  <si>
    <t>AWK2E-L-001-3338</t>
  </si>
  <si>
    <t>AWK2E-L-200-3338</t>
  </si>
  <si>
    <t>AWK2E-L-300-3338</t>
  </si>
  <si>
    <t>AWK2E-L-100-3944</t>
  </si>
  <si>
    <t>AWK2E-L-101-3944</t>
  </si>
  <si>
    <t>AWK2E-L-001-3944</t>
  </si>
  <si>
    <t>AWK2E-L-200-3944</t>
  </si>
  <si>
    <t>AWK2E-L-300-3944</t>
  </si>
  <si>
    <t>AWK3C-B102-3338</t>
  </si>
  <si>
    <t>AWK3C-B002-3338</t>
  </si>
  <si>
    <t>AWK3C-B102-3944</t>
  </si>
  <si>
    <t>AWK3C-B002-3944</t>
  </si>
  <si>
    <t>MFK3C-B-100-1922</t>
  </si>
  <si>
    <t>KIT 3 PARES - CANO BAIXO</t>
  </si>
  <si>
    <t>19 - 22</t>
  </si>
  <si>
    <t>MFK3C-B-600-1922</t>
  </si>
  <si>
    <t>ROSA</t>
  </si>
  <si>
    <t>MFK3C-B-005-1922</t>
  </si>
  <si>
    <t>005</t>
  </si>
  <si>
    <t>MFK3C-B-400-1922</t>
  </si>
  <si>
    <t>MARINHO</t>
  </si>
  <si>
    <t>MFK3C-B-001-1922</t>
  </si>
  <si>
    <t>MFK3C-B-100-2327</t>
  </si>
  <si>
    <t>23 - 27</t>
  </si>
  <si>
    <t>MFK3C-B-600-2327</t>
  </si>
  <si>
    <t>MFK3C-B-005-2327</t>
  </si>
  <si>
    <t>MFK3C-B-400-2327</t>
  </si>
  <si>
    <t>MFK3C-B-001-2327</t>
  </si>
  <si>
    <t>MFK3C-B-100-2833</t>
  </si>
  <si>
    <t>28 - 33</t>
  </si>
  <si>
    <t>MFK3C-B-600-2833</t>
  </si>
  <si>
    <t>MFK3C-B-005-2833</t>
  </si>
  <si>
    <t>MFK3C-B-400-2833</t>
  </si>
  <si>
    <t>MFK3C-B-001-2833</t>
  </si>
  <si>
    <t>MFK3C-M-100-1922</t>
  </si>
  <si>
    <t>MFK3C-M-600-1922</t>
  </si>
  <si>
    <t>MFK3C-M-005-1922</t>
  </si>
  <si>
    <t>MFK3C-M-400-1922</t>
  </si>
  <si>
    <t>MFK3C-M-001-1922</t>
  </si>
  <si>
    <t>MFK3C-M-100-2327</t>
  </si>
  <si>
    <t>MFK3C-M-600-2327</t>
  </si>
  <si>
    <t>MFK3C-M-005-2327</t>
  </si>
  <si>
    <t>MFK3C-M-400-2327</t>
  </si>
  <si>
    <t>MFK3C-M-001-2327</t>
  </si>
  <si>
    <t>MFK3C-M-100-2833</t>
  </si>
  <si>
    <t>MFK3C-M-600-2833</t>
  </si>
  <si>
    <t>MFK3C-M-005-2833</t>
  </si>
  <si>
    <t>MFK3C-M-400-2833</t>
  </si>
  <si>
    <t>MFK3C-M-001-2833</t>
  </si>
  <si>
    <t>MFK3C-L-100-1922</t>
  </si>
  <si>
    <t>MFK3C-L-600-1922</t>
  </si>
  <si>
    <t>MFK3C-L-005-1922</t>
  </si>
  <si>
    <t>MFK3C-L-400-1922</t>
  </si>
  <si>
    <t>MFK3C-L-001-1922</t>
  </si>
  <si>
    <t>MFK3C-L-100-2327</t>
  </si>
  <si>
    <t>MFK3C-L-600-2327</t>
  </si>
  <si>
    <t>MFK3C-L-005-2327</t>
  </si>
  <si>
    <t>MFK3C-L-400-2327</t>
  </si>
  <si>
    <t>MFK3C-L-001-2327</t>
  </si>
  <si>
    <t>MFK3C-L-100-2833</t>
  </si>
  <si>
    <t>MFK3C-L-600-2833</t>
  </si>
  <si>
    <t>MFK3C-L-005-2833</t>
  </si>
  <si>
    <t>MFK3C-L-400-2833</t>
  </si>
  <si>
    <t>MFK3C-L-001-2833</t>
  </si>
  <si>
    <t>34.513.679/0001-34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</si>
</sst>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-[$R$-416]\ * #,##0.00_-;\-[$R$-416]\ * #,##0.00_-;_-[$R$-416]\ * &quot;-&quot;??_-;_-@_-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</font>
    <font>
      <b/>
      <sz val="10"/>
      <color rgb="FF0070C0"/>
      <name val="Calibri"/>
      <family val="2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</font>
    <font>
      <b/>
      <sz val="14"/>
      <color indexed="8"/>
      <name val="Calibri"/>
      <family val="2"/>
    </font>
    <font>
      <b/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99">
    <xf numFmtId="0" fontId="0" fillId="0" borderId="0" xfId="0"/>
    <xf numFmtId="0" fontId="0" fillId="3" borderId="14" xfId="0" applyFill="1" applyBorder="1" applyAlignment="1" applyProtection="1">
      <alignment horizontal="center" vertical="center" wrapText="1"/>
      <protection locked="0"/>
    </xf>
    <xf numFmtId="4" fontId="0" fillId="3" borderId="14" xfId="0" applyNumberFormat="1" applyFill="1" applyBorder="1" applyAlignment="1" applyProtection="1">
      <alignment horizontal="center" vertical="center" wrapText="1"/>
      <protection locked="0"/>
    </xf>
    <xf numFmtId="49" fontId="9" fillId="0" borderId="17" xfId="0" applyNumberFormat="1" applyFont="1" applyBorder="1" applyAlignment="1">
      <alignment horizontal="center" vertical="center" wrapText="1"/>
    </xf>
    <xf numFmtId="49" fontId="0" fillId="3" borderId="14" xfId="0" applyNumberFormat="1" applyFill="1" applyBorder="1" applyAlignment="1" applyProtection="1">
      <alignment horizontal="center" vertical="center" wrapText="1"/>
      <protection locked="0"/>
    </xf>
    <xf numFmtId="49" fontId="0" fillId="3" borderId="1" xfId="0" applyNumberForma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3" fontId="0" fillId="0" borderId="0" xfId="0" applyNumberFormat="1" applyAlignment="1">
      <alignment horizontal="center" vertical="center" wrapText="1"/>
    </xf>
    <xf numFmtId="164" fontId="0" fillId="3" borderId="14" xfId="1" applyFont="1" applyFill="1" applyBorder="1" applyAlignment="1">
      <alignment horizontal="center" vertical="center" wrapText="1"/>
    </xf>
    <xf numFmtId="3" fontId="4" fillId="3" borderId="14" xfId="0" applyNumberFormat="1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164" fontId="0" fillId="3" borderId="1" xfId="1" applyFont="1" applyFill="1" applyBorder="1" applyAlignment="1">
      <alignment horizontal="center" vertical="center" wrapText="1"/>
    </xf>
    <xf numFmtId="0" fontId="0" fillId="3" borderId="15" xfId="0" applyFill="1" applyBorder="1" applyAlignment="1" applyProtection="1">
      <alignment horizontal="center" vertical="center" wrapText="1"/>
      <protection locked="0"/>
    </xf>
    <xf numFmtId="165" fontId="0" fillId="3" borderId="1" xfId="0" applyNumberFormat="1" applyFill="1" applyBorder="1" applyAlignment="1" applyProtection="1">
      <alignment horizontal="center" vertical="center" wrapText="1"/>
      <protection locked="0"/>
    </xf>
    <xf numFmtId="165" fontId="0" fillId="3" borderId="14" xfId="0" applyNumberFormat="1" applyFill="1" applyBorder="1" applyAlignment="1" applyProtection="1">
      <alignment horizontal="center" vertical="center" wrapText="1"/>
      <protection locked="0"/>
    </xf>
    <xf numFmtId="165" fontId="0" fillId="3" borderId="14" xfId="1" applyNumberFormat="1" applyFont="1" applyFill="1" applyBorder="1" applyAlignment="1" applyProtection="1">
      <alignment horizontal="center" vertical="center" wrapText="1"/>
      <protection locked="0"/>
    </xf>
    <xf numFmtId="0" fontId="13" fillId="4" borderId="5" xfId="0" applyFont="1" applyFill="1" applyBorder="1" applyAlignment="1">
      <alignment horizontal="center" vertical="center" wrapText="1"/>
    </xf>
    <xf numFmtId="165" fontId="0" fillId="3" borderId="14" xfId="0" applyNumberForma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4" fontId="4" fillId="3" borderId="3" xfId="1" applyFont="1" applyFill="1" applyBorder="1" applyAlignment="1">
      <alignment horizontal="center" vertical="center" wrapText="1"/>
    </xf>
    <xf numFmtId="164" fontId="4" fillId="3" borderId="9" xfId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3" fontId="9" fillId="3" borderId="14" xfId="0" applyNumberFormat="1" applyFont="1" applyFill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wrapText="1"/>
    </xf>
    <xf numFmtId="0" fontId="8" fillId="3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4" fontId="8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164" fontId="4" fillId="3" borderId="0" xfId="1" applyFont="1" applyFill="1" applyBorder="1" applyAlignment="1">
      <alignment horizontal="center" vertical="center" wrapText="1"/>
    </xf>
    <xf numFmtId="164" fontId="6" fillId="2" borderId="0" xfId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64" fontId="6" fillId="2" borderId="3" xfId="1" applyFont="1" applyFill="1" applyBorder="1" applyAlignment="1">
      <alignment horizontal="center" vertical="center" wrapText="1"/>
    </xf>
    <xf numFmtId="164" fontId="6" fillId="2" borderId="9" xfId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164" fontId="4" fillId="3" borderId="3" xfId="1" applyFont="1" applyFill="1" applyBorder="1" applyAlignment="1">
      <alignment horizontal="center" vertical="center" wrapText="1"/>
    </xf>
    <xf numFmtId="164" fontId="4" fillId="3" borderId="9" xfId="1" applyFont="1" applyFill="1" applyBorder="1" applyAlignment="1">
      <alignment horizontal="center" vertical="center" wrapText="1"/>
    </xf>
    <xf numFmtId="164" fontId="4" fillId="3" borderId="27" xfId="1" applyFont="1" applyFill="1" applyBorder="1" applyAlignment="1">
      <alignment horizontal="center" vertical="center" wrapText="1"/>
    </xf>
    <xf numFmtId="164" fontId="4" fillId="3" borderId="31" xfId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164" fontId="9" fillId="0" borderId="18" xfId="1" applyFont="1" applyBorder="1" applyAlignment="1">
      <alignment horizontal="center" vertical="center" wrapText="1"/>
    </xf>
    <xf numFmtId="164" fontId="9" fillId="0" borderId="12" xfId="1" applyFont="1" applyBorder="1" applyAlignment="1">
      <alignment horizontal="center" vertical="center" wrapText="1"/>
    </xf>
    <xf numFmtId="164" fontId="9" fillId="0" borderId="26" xfId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14" fontId="8" fillId="0" borderId="3" xfId="0" applyNumberFormat="1" applyFont="1" applyBorder="1" applyAlignment="1">
      <alignment horizontal="left" vertical="center" wrapText="1"/>
    </xf>
    <xf numFmtId="14" fontId="8" fillId="0" borderId="2" xfId="0" applyNumberFormat="1" applyFont="1" applyBorder="1" applyAlignment="1">
      <alignment horizontal="left" vertical="center" wrapText="1"/>
    </xf>
    <xf numFmtId="14" fontId="8" fillId="0" borderId="9" xfId="0" applyNumberFormat="1" applyFont="1" applyBorder="1" applyAlignment="1">
      <alignment horizontal="left" vertical="center" wrapText="1"/>
    </xf>
    <xf numFmtId="0" fontId="10" fillId="0" borderId="3" xfId="2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49" fontId="12" fillId="0" borderId="11" xfId="0" applyNumberFormat="1" applyFont="1" applyBorder="1" applyAlignment="1">
      <alignment horizontal="center" wrapText="1"/>
    </xf>
    <xf numFmtId="49" fontId="12" fillId="0" borderId="12" xfId="0" applyNumberFormat="1" applyFont="1" applyBorder="1" applyAlignment="1">
      <alignment horizontal="center" wrapText="1"/>
    </xf>
    <xf numFmtId="49" fontId="12" fillId="0" borderId="13" xfId="0" applyNumberFormat="1" applyFont="1" applyBorder="1" applyAlignment="1">
      <alignment horizont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0" fontId="8" fillId="3" borderId="21" xfId="0" applyFont="1" applyFill="1" applyBorder="1" applyAlignment="1">
      <alignment horizontal="left" vertical="center" wrapText="1"/>
    </xf>
    <xf numFmtId="0" fontId="8" fillId="3" borderId="23" xfId="0" applyFont="1" applyFill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left" vertical="center" wrapText="1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D78"/>
      <color rgb="FF0D24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9.jpeg"/><Relationship Id="rId17" Type="http://schemas.openxmlformats.org/officeDocument/2006/relationships/image" Target="../media/image20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jpeg"/><Relationship Id="rId3" Type="http://schemas.openxmlformats.org/officeDocument/2006/relationships/image" Target="../media/image23.png"/><Relationship Id="rId7" Type="http://schemas.openxmlformats.org/officeDocument/2006/relationships/image" Target="../media/image27.jpe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11" Type="http://schemas.openxmlformats.org/officeDocument/2006/relationships/image" Target="../media/image31.png"/><Relationship Id="rId5" Type="http://schemas.openxmlformats.org/officeDocument/2006/relationships/image" Target="../media/image25.png"/><Relationship Id="rId10" Type="http://schemas.openxmlformats.org/officeDocument/2006/relationships/image" Target="../media/image30.png"/><Relationship Id="rId4" Type="http://schemas.openxmlformats.org/officeDocument/2006/relationships/image" Target="../media/image24.png"/><Relationship Id="rId9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183444</xdr:colOff>
      <xdr:row>11</xdr:row>
      <xdr:rowOff>42333</xdr:rowOff>
    </xdr:from>
    <xdr:to>
      <xdr:col>2</xdr:col>
      <xdr:colOff>0</xdr:colOff>
      <xdr:row>11</xdr:row>
      <xdr:rowOff>606778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B16EF5-BA64-4982-9DB4-8B5FFC6BF758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3469" y="2509308"/>
          <a:ext cx="712522" cy="564445"/>
        </a:xfrm>
        <a:prstGeom prst="rect">
          <a:avLst/>
        </a:prstGeom>
      </xdr:spPr>
    </xdr:pic>
    <xdr:clientData/>
  </xdr:twoCellAnchor>
  <xdr:twoCellAnchor editAs="oneCell">
    <xdr:from>
      <xdr:col>1</xdr:col>
      <xdr:colOff>197555</xdr:colOff>
      <xdr:row>12</xdr:row>
      <xdr:rowOff>22972</xdr:rowOff>
    </xdr:from>
    <xdr:to>
      <xdr:col>2</xdr:col>
      <xdr:colOff>20442</xdr:colOff>
      <xdr:row>12</xdr:row>
      <xdr:rowOff>591748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AD7B188-5C92-498F-8E92-EAB424763487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7580" y="3118597"/>
          <a:ext cx="702997" cy="568776"/>
        </a:xfrm>
        <a:prstGeom prst="rect">
          <a:avLst/>
        </a:prstGeom>
      </xdr:spPr>
    </xdr:pic>
    <xdr:clientData/>
  </xdr:twoCellAnchor>
  <xdr:twoCellAnchor editAs="oneCell">
    <xdr:from>
      <xdr:col>1</xdr:col>
      <xdr:colOff>197556</xdr:colOff>
      <xdr:row>13</xdr:row>
      <xdr:rowOff>31011</xdr:rowOff>
    </xdr:from>
    <xdr:to>
      <xdr:col>2</xdr:col>
      <xdr:colOff>20443</xdr:colOff>
      <xdr:row>13</xdr:row>
      <xdr:rowOff>588866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7E02F75-DF0C-4DE1-8CB9-FD8D727BE5D2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7581" y="3755286"/>
          <a:ext cx="702997" cy="557855"/>
        </a:xfrm>
        <a:prstGeom prst="rect">
          <a:avLst/>
        </a:prstGeom>
      </xdr:spPr>
    </xdr:pic>
    <xdr:clientData/>
  </xdr:twoCellAnchor>
  <xdr:twoCellAnchor editAs="oneCell">
    <xdr:from>
      <xdr:col>1</xdr:col>
      <xdr:colOff>155221</xdr:colOff>
      <xdr:row>15</xdr:row>
      <xdr:rowOff>56444</xdr:rowOff>
    </xdr:from>
    <xdr:to>
      <xdr:col>1</xdr:col>
      <xdr:colOff>874887</xdr:colOff>
      <xdr:row>16</xdr:row>
      <xdr:rowOff>1764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C0F1AFB-3654-4952-B072-C759B3375D5C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55246" y="4447469"/>
          <a:ext cx="719666" cy="573970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169332</xdr:colOff>
      <xdr:row>16</xdr:row>
      <xdr:rowOff>37083</xdr:rowOff>
    </xdr:from>
    <xdr:to>
      <xdr:col>1</xdr:col>
      <xdr:colOff>892808</xdr:colOff>
      <xdr:row>16</xdr:row>
      <xdr:rowOff>609669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2108272-0B18-41A0-BC21-78EB470508C7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69357" y="5056758"/>
          <a:ext cx="723476" cy="572586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169333</xdr:colOff>
      <xdr:row>17</xdr:row>
      <xdr:rowOff>45122</xdr:rowOff>
    </xdr:from>
    <xdr:to>
      <xdr:col>1</xdr:col>
      <xdr:colOff>892809</xdr:colOff>
      <xdr:row>17</xdr:row>
      <xdr:rowOff>612502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0E1E585-A902-4183-8C9A-4854957E5E3C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69358" y="5693447"/>
          <a:ext cx="723476" cy="567380"/>
        </a:xfrm>
        <a:prstGeom prst="rect">
          <a:avLst/>
        </a:prstGeom>
      </xdr:spPr>
    </xdr:pic>
    <xdr:clientData/>
  </xdr:twoCellAnchor>
  <xdr:twoCellAnchor editAs="oneCell">
    <xdr:from>
      <xdr:col>1</xdr:col>
      <xdr:colOff>183445</xdr:colOff>
      <xdr:row>19</xdr:row>
      <xdr:rowOff>42333</xdr:rowOff>
    </xdr:from>
    <xdr:to>
      <xdr:col>1</xdr:col>
      <xdr:colOff>854287</xdr:colOff>
      <xdr:row>20</xdr:row>
      <xdr:rowOff>1858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A1AB3A2-75B6-4B3C-AB52-0A9C36E358C4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3470" y="6357408"/>
          <a:ext cx="670842" cy="588175"/>
        </a:xfrm>
        <a:prstGeom prst="rect">
          <a:avLst/>
        </a:prstGeom>
      </xdr:spPr>
    </xdr:pic>
    <xdr:clientData/>
  </xdr:twoCellAnchor>
  <xdr:twoCellAnchor editAs="oneCell">
    <xdr:from>
      <xdr:col>1</xdr:col>
      <xdr:colOff>183446</xdr:colOff>
      <xdr:row>21</xdr:row>
      <xdr:rowOff>22413</xdr:rowOff>
    </xdr:from>
    <xdr:to>
      <xdr:col>1</xdr:col>
      <xdr:colOff>854288</xdr:colOff>
      <xdr:row>21</xdr:row>
      <xdr:rowOff>606778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537B692-869E-4700-9621-91868C5C8908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3471" y="7594788"/>
          <a:ext cx="670842" cy="584365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169333</xdr:colOff>
      <xdr:row>22</xdr:row>
      <xdr:rowOff>28222</xdr:rowOff>
    </xdr:from>
    <xdr:to>
      <xdr:col>1</xdr:col>
      <xdr:colOff>821125</xdr:colOff>
      <xdr:row>22</xdr:row>
      <xdr:rowOff>612587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43118FC5-9ACD-4A18-AD0A-CB902525E1D6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69358" y="8267347"/>
          <a:ext cx="651792" cy="584365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169334</xdr:colOff>
      <xdr:row>24</xdr:row>
      <xdr:rowOff>8302</xdr:rowOff>
    </xdr:from>
    <xdr:to>
      <xdr:col>1</xdr:col>
      <xdr:colOff>821126</xdr:colOff>
      <xdr:row>24</xdr:row>
      <xdr:rowOff>588857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B2058361-D123-48A8-B699-5C0D063E025B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69359" y="9504727"/>
          <a:ext cx="651792" cy="580555"/>
        </a:xfrm>
        <a:prstGeom prst="rect">
          <a:avLst/>
        </a:prstGeom>
      </xdr:spPr>
    </xdr:pic>
    <xdr:clientData/>
  </xdr:twoCellAnchor>
  <xdr:twoCellAnchor editAs="oneCell">
    <xdr:from>
      <xdr:col>1</xdr:col>
      <xdr:colOff>141113</xdr:colOff>
      <xdr:row>25</xdr:row>
      <xdr:rowOff>28223</xdr:rowOff>
    </xdr:from>
    <xdr:to>
      <xdr:col>2</xdr:col>
      <xdr:colOff>20443</xdr:colOff>
      <xdr:row>25</xdr:row>
      <xdr:rowOff>606779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923C852-A113-4182-976A-41EBF563B2E8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41138" y="10191398"/>
          <a:ext cx="759440" cy="578556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127001</xdr:colOff>
      <xdr:row>26</xdr:row>
      <xdr:rowOff>36523</xdr:rowOff>
    </xdr:from>
    <xdr:to>
      <xdr:col>2</xdr:col>
      <xdr:colOff>20540</xdr:colOff>
      <xdr:row>27</xdr:row>
      <xdr:rowOff>1670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BF41688D-700D-4903-8CD5-C60F6F43D04E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27026" y="10828348"/>
          <a:ext cx="773649" cy="593796"/>
        </a:xfrm>
        <a:prstGeom prst="rect">
          <a:avLst/>
        </a:prstGeom>
      </xdr:spPr>
    </xdr:pic>
    <xdr:clientData/>
  </xdr:twoCellAnchor>
  <xdr:twoCellAnchor editAs="oneCell">
    <xdr:from>
      <xdr:col>1</xdr:col>
      <xdr:colOff>141115</xdr:colOff>
      <xdr:row>27</xdr:row>
      <xdr:rowOff>30713</xdr:rowOff>
    </xdr:from>
    <xdr:to>
      <xdr:col>2</xdr:col>
      <xdr:colOff>0</xdr:colOff>
      <xdr:row>27</xdr:row>
      <xdr:rowOff>609269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891F89D6-3DFF-4B0E-9040-7745442DC862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41140" y="11451188"/>
          <a:ext cx="756028" cy="578556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127001</xdr:colOff>
      <xdr:row>28</xdr:row>
      <xdr:rowOff>28222</xdr:rowOff>
    </xdr:from>
    <xdr:to>
      <xdr:col>2</xdr:col>
      <xdr:colOff>0</xdr:colOff>
      <xdr:row>28</xdr:row>
      <xdr:rowOff>606778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4FCF719B-4EEE-4EBA-A23B-C8059F1CE388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27026" y="12115447"/>
          <a:ext cx="768965" cy="578556"/>
        </a:xfrm>
        <a:prstGeom prst="rect">
          <a:avLst/>
        </a:prstGeom>
      </xdr:spPr>
    </xdr:pic>
    <xdr:clientData/>
  </xdr:twoCellAnchor>
  <xdr:twoCellAnchor editAs="oneCell">
    <xdr:from>
      <xdr:col>1</xdr:col>
      <xdr:colOff>112889</xdr:colOff>
      <xdr:row>29</xdr:row>
      <xdr:rowOff>36522</xdr:rowOff>
    </xdr:from>
    <xdr:to>
      <xdr:col>1</xdr:col>
      <xdr:colOff>891777</xdr:colOff>
      <xdr:row>30</xdr:row>
      <xdr:rowOff>1668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DB2A430-E9DD-4FC7-8C16-F3C21584E451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12914" y="12752397"/>
          <a:ext cx="778888" cy="593796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127003</xdr:colOff>
      <xdr:row>30</xdr:row>
      <xdr:rowOff>30712</xdr:rowOff>
    </xdr:from>
    <xdr:to>
      <xdr:col>2</xdr:col>
      <xdr:colOff>20542</xdr:colOff>
      <xdr:row>30</xdr:row>
      <xdr:rowOff>609268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6E29D0C1-E3DF-4A4C-83B7-6631DBCD8155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27028" y="13375237"/>
          <a:ext cx="773649" cy="578556"/>
        </a:xfrm>
        <a:prstGeom prst="rect">
          <a:avLst/>
        </a:prstGeom>
      </xdr:spPr>
    </xdr:pic>
    <xdr:clientData/>
  </xdr:twoCellAnchor>
  <xdr:twoCellAnchor editAs="oneCell">
    <xdr:from>
      <xdr:col>1</xdr:col>
      <xdr:colOff>186973</xdr:colOff>
      <xdr:row>31</xdr:row>
      <xdr:rowOff>28223</xdr:rowOff>
    </xdr:from>
    <xdr:to>
      <xdr:col>2</xdr:col>
      <xdr:colOff>0</xdr:colOff>
      <xdr:row>31</xdr:row>
      <xdr:rowOff>588719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3F12F832-E196-4D19-8EAB-AFEF37A5B682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6998" y="14039498"/>
          <a:ext cx="708564" cy="560496"/>
        </a:xfrm>
        <a:prstGeom prst="rect">
          <a:avLst/>
        </a:prstGeom>
      </xdr:spPr>
    </xdr:pic>
    <xdr:clientData/>
  </xdr:twoCellAnchor>
  <xdr:twoCellAnchor editAs="oneCell">
    <xdr:from>
      <xdr:col>1</xdr:col>
      <xdr:colOff>197557</xdr:colOff>
      <xdr:row>32</xdr:row>
      <xdr:rowOff>54772</xdr:rowOff>
    </xdr:from>
    <xdr:to>
      <xdr:col>2</xdr:col>
      <xdr:colOff>20513</xdr:colOff>
      <xdr:row>33</xdr:row>
      <xdr:rowOff>3225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C0AD7FBB-81E8-4CC6-B6D9-6D94DC328C6C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7582" y="14694697"/>
          <a:ext cx="703066" cy="577103"/>
        </a:xfrm>
        <a:prstGeom prst="rect">
          <a:avLst/>
        </a:prstGeom>
      </xdr:spPr>
    </xdr:pic>
    <xdr:clientData/>
  </xdr:twoCellAnchor>
  <xdr:oneCellAnchor>
    <xdr:from>
      <xdr:col>1</xdr:col>
      <xdr:colOff>199322</xdr:colOff>
      <xdr:row>33</xdr:row>
      <xdr:rowOff>43320</xdr:rowOff>
    </xdr:from>
    <xdr:ext cx="698563" cy="569483"/>
    <xdr:pic>
      <xdr:nvPicPr>
        <xdr:cNvPr id="20" name="Imagem 19">
          <a:extLst>
            <a:ext uri="{FF2B5EF4-FFF2-40B4-BE49-F238E27FC236}">
              <a16:creationId xmlns:a16="http://schemas.microsoft.com/office/drawing/2014/main" id="{EC02B7AA-3A3D-4F82-992E-4C39AA54407E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9347" y="15311895"/>
          <a:ext cx="698563" cy="569483"/>
        </a:xfrm>
        <a:prstGeom prst="rect">
          <a:avLst/>
        </a:prstGeom>
      </xdr:spPr>
    </xdr:pic>
    <xdr:clientData/>
  </xdr:oneCellAnchor>
  <xdr:twoCellAnchor editAs="oneCell">
    <xdr:from>
      <xdr:col>1</xdr:col>
      <xdr:colOff>314901</xdr:colOff>
      <xdr:row>34</xdr:row>
      <xdr:rowOff>52073</xdr:rowOff>
    </xdr:from>
    <xdr:to>
      <xdr:col>1</xdr:col>
      <xdr:colOff>744079</xdr:colOff>
      <xdr:row>35</xdr:row>
      <xdr:rowOff>1704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73AC8AE8-B3A5-476D-B994-E0052AA6D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14926" y="15949298"/>
          <a:ext cx="429178" cy="578281"/>
        </a:xfrm>
        <a:prstGeom prst="rect">
          <a:avLst/>
        </a:prstGeom>
      </xdr:spPr>
    </xdr:pic>
    <xdr:clientData/>
  </xdr:twoCellAnchor>
  <xdr:twoCellAnchor editAs="oneCell">
    <xdr:from>
      <xdr:col>1</xdr:col>
      <xdr:colOff>314897</xdr:colOff>
      <xdr:row>35</xdr:row>
      <xdr:rowOff>38587</xdr:rowOff>
    </xdr:from>
    <xdr:to>
      <xdr:col>1</xdr:col>
      <xdr:colOff>741342</xdr:colOff>
      <xdr:row>36</xdr:row>
      <xdr:rowOff>1763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F12E75CE-B3F0-4C29-8B31-3D4CEC28D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14922" y="16564462"/>
          <a:ext cx="426445" cy="591826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169334</xdr:colOff>
      <xdr:row>36</xdr:row>
      <xdr:rowOff>28222</xdr:rowOff>
    </xdr:from>
    <xdr:to>
      <xdr:col>1</xdr:col>
      <xdr:colOff>860277</xdr:colOff>
      <xdr:row>36</xdr:row>
      <xdr:rowOff>588718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046B462C-0D90-448D-A6B6-E154FAB38285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69359" y="17220847"/>
          <a:ext cx="690943" cy="560496"/>
        </a:xfrm>
        <a:prstGeom prst="rect">
          <a:avLst/>
        </a:prstGeom>
      </xdr:spPr>
    </xdr:pic>
    <xdr:clientData/>
  </xdr:twoCellAnchor>
  <xdr:twoCellAnchor editAs="oneCell">
    <xdr:from>
      <xdr:col>1</xdr:col>
      <xdr:colOff>179918</xdr:colOff>
      <xdr:row>37</xdr:row>
      <xdr:rowOff>54771</xdr:rowOff>
    </xdr:from>
    <xdr:to>
      <xdr:col>1</xdr:col>
      <xdr:colOff>892033</xdr:colOff>
      <xdr:row>38</xdr:row>
      <xdr:rowOff>3225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281FC031-3AFF-4E9A-9F10-761D4657FFD6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79943" y="17876046"/>
          <a:ext cx="712115" cy="577103"/>
        </a:xfrm>
        <a:prstGeom prst="rect">
          <a:avLst/>
        </a:prstGeom>
      </xdr:spPr>
    </xdr:pic>
    <xdr:clientData/>
  </xdr:twoCellAnchor>
  <xdr:oneCellAnchor>
    <xdr:from>
      <xdr:col>1</xdr:col>
      <xdr:colOff>181683</xdr:colOff>
      <xdr:row>38</xdr:row>
      <xdr:rowOff>43319</xdr:rowOff>
    </xdr:from>
    <xdr:ext cx="698563" cy="569483"/>
    <xdr:pic>
      <xdr:nvPicPr>
        <xdr:cNvPr id="25" name="Imagem 24">
          <a:extLst>
            <a:ext uri="{FF2B5EF4-FFF2-40B4-BE49-F238E27FC236}">
              <a16:creationId xmlns:a16="http://schemas.microsoft.com/office/drawing/2014/main" id="{DDF9C930-5E19-49E8-9C8C-1F0CEAE111CC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1708" y="18493244"/>
          <a:ext cx="698563" cy="569483"/>
        </a:xfrm>
        <a:prstGeom prst="rect">
          <a:avLst/>
        </a:prstGeom>
      </xdr:spPr>
    </xdr:pic>
    <xdr:clientData/>
  </xdr:oneCellAnchor>
  <xdr:twoCellAnchor editAs="oneCell">
    <xdr:from>
      <xdr:col>1</xdr:col>
      <xdr:colOff>297262</xdr:colOff>
      <xdr:row>39</xdr:row>
      <xdr:rowOff>52072</xdr:rowOff>
    </xdr:from>
    <xdr:to>
      <xdr:col>1</xdr:col>
      <xdr:colOff>743585</xdr:colOff>
      <xdr:row>40</xdr:row>
      <xdr:rowOff>1703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8CD10A99-4558-4398-B47E-9C7C21801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97287" y="19130647"/>
          <a:ext cx="446323" cy="578281"/>
        </a:xfrm>
        <a:prstGeom prst="rect">
          <a:avLst/>
        </a:prstGeom>
      </xdr:spPr>
    </xdr:pic>
    <xdr:clientData/>
  </xdr:twoCellAnchor>
  <xdr:twoCellAnchor editAs="oneCell">
    <xdr:from>
      <xdr:col>1</xdr:col>
      <xdr:colOff>297258</xdr:colOff>
      <xdr:row>40</xdr:row>
      <xdr:rowOff>38586</xdr:rowOff>
    </xdr:from>
    <xdr:to>
      <xdr:col>1</xdr:col>
      <xdr:colOff>740848</xdr:colOff>
      <xdr:row>41</xdr:row>
      <xdr:rowOff>1761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3940C9D0-8BBE-476B-816D-324E06433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97283" y="19745811"/>
          <a:ext cx="443590" cy="591826"/>
        </a:xfrm>
        <a:prstGeom prst="rect">
          <a:avLst/>
        </a:prstGeom>
      </xdr:spPr>
    </xdr:pic>
    <xdr:clientData/>
  </xdr:twoCellAnchor>
  <xdr:twoCellAnchor editAs="oneCell">
    <xdr:from>
      <xdr:col>1</xdr:col>
      <xdr:colOff>183445</xdr:colOff>
      <xdr:row>41</xdr:row>
      <xdr:rowOff>28223</xdr:rowOff>
    </xdr:from>
    <xdr:to>
      <xdr:col>1</xdr:col>
      <xdr:colOff>821409</xdr:colOff>
      <xdr:row>41</xdr:row>
      <xdr:rowOff>612589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5B60B4C5-FAFE-439B-876F-427E546F54DA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3470" y="20402198"/>
          <a:ext cx="637964" cy="584366"/>
        </a:xfrm>
        <a:prstGeom prst="rect">
          <a:avLst/>
        </a:prstGeom>
      </xdr:spPr>
    </xdr:pic>
    <xdr:clientData/>
  </xdr:twoCellAnchor>
  <xdr:twoCellAnchor editAs="oneCell">
    <xdr:from>
      <xdr:col>1</xdr:col>
      <xdr:colOff>229306</xdr:colOff>
      <xdr:row>42</xdr:row>
      <xdr:rowOff>36524</xdr:rowOff>
    </xdr:from>
    <xdr:to>
      <xdr:col>1</xdr:col>
      <xdr:colOff>874890</xdr:colOff>
      <xdr:row>43</xdr:row>
      <xdr:rowOff>1766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B6492CEA-8685-46BA-B569-1E6B95681E76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29331" y="21039149"/>
          <a:ext cx="645584" cy="593891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169334</xdr:colOff>
      <xdr:row>43</xdr:row>
      <xdr:rowOff>42333</xdr:rowOff>
    </xdr:from>
    <xdr:to>
      <xdr:col>1</xdr:col>
      <xdr:colOff>818728</xdr:colOff>
      <xdr:row>44</xdr:row>
      <xdr:rowOff>1860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F741EB5E-9BBB-4386-ABB7-6C62937F226B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69359" y="21711708"/>
          <a:ext cx="649394" cy="588176"/>
        </a:xfrm>
        <a:prstGeom prst="rect">
          <a:avLst/>
        </a:prstGeom>
      </xdr:spPr>
    </xdr:pic>
    <xdr:clientData/>
  </xdr:twoCellAnchor>
  <xdr:twoCellAnchor editAs="oneCell">
    <xdr:from>
      <xdr:col>1</xdr:col>
      <xdr:colOff>215195</xdr:colOff>
      <xdr:row>44</xdr:row>
      <xdr:rowOff>50634</xdr:rowOff>
    </xdr:from>
    <xdr:to>
      <xdr:col>1</xdr:col>
      <xdr:colOff>856969</xdr:colOff>
      <xdr:row>45</xdr:row>
      <xdr:rowOff>2380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B02522F6-3A73-4B66-A564-11E1D5EFF85E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15220" y="22348659"/>
          <a:ext cx="641774" cy="578016"/>
        </a:xfrm>
        <a:prstGeom prst="rect">
          <a:avLst/>
        </a:prstGeom>
      </xdr:spPr>
    </xdr:pic>
    <xdr:clientData/>
  </xdr:twoCellAnchor>
  <xdr:twoCellAnchor editAs="oneCell">
    <xdr:from>
      <xdr:col>6</xdr:col>
      <xdr:colOff>469900</xdr:colOff>
      <xdr:row>1</xdr:row>
      <xdr:rowOff>51876</xdr:rowOff>
    </xdr:from>
    <xdr:to>
      <xdr:col>14</xdr:col>
      <xdr:colOff>395817</xdr:colOff>
      <xdr:row>1</xdr:row>
      <xdr:rowOff>571930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450D2634-5E21-4C3B-ABCD-EBE1DB15D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00" y="194751"/>
          <a:ext cx="3354917" cy="520054"/>
        </a:xfrm>
        <a:prstGeom prst="rect">
          <a:avLst/>
        </a:prstGeom>
      </xdr:spPr>
    </xdr:pic>
    <xdr:clientData/>
  </xdr:twoCellAnchor>
  <xdr:oneCellAnchor>
    <xdr:from>
      <xdr:col>1</xdr:col>
      <xdr:colOff>183446</xdr:colOff>
      <xdr:row>21</xdr:row>
      <xdr:rowOff>22413</xdr:rowOff>
    </xdr:from>
    <xdr:ext cx="672747" cy="588175"/>
    <xdr:pic>
      <xdr:nvPicPr>
        <xdr:cNvPr id="33" name="Imagem 32">
          <a:extLst>
            <a:ext uri="{FF2B5EF4-FFF2-40B4-BE49-F238E27FC236}">
              <a16:creationId xmlns:a16="http://schemas.microsoft.com/office/drawing/2014/main" id="{EAF75E4A-20D1-450F-82CC-BC480682D6BA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3471" y="7594788"/>
          <a:ext cx="672747" cy="588175"/>
        </a:xfrm>
        <a:prstGeom prst="rect">
          <a:avLst/>
        </a:prstGeom>
      </xdr:spPr>
    </xdr:pic>
    <xdr:clientData/>
  </xdr:oneCellAnchor>
  <xdr:twoCellAnchor editAs="oneCell">
    <xdr:from>
      <xdr:col>1</xdr:col>
      <xdr:colOff>142875</xdr:colOff>
      <xdr:row>20</xdr:row>
      <xdr:rowOff>114300</xdr:rowOff>
    </xdr:from>
    <xdr:to>
      <xdr:col>1</xdr:col>
      <xdr:colOff>802005</xdr:colOff>
      <xdr:row>20</xdr:row>
      <xdr:rowOff>588645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C4F91A64-8320-49F9-8892-4B9B030ED388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42900" y="7058025"/>
          <a:ext cx="659130" cy="474345"/>
        </a:xfrm>
        <a:prstGeom prst="rect">
          <a:avLst/>
        </a:prstGeom>
      </xdr:spPr>
    </xdr:pic>
    <xdr:clientData/>
  </xdr:twoCellAnchor>
  <xdr:oneCellAnchor>
    <xdr:from>
      <xdr:col>1</xdr:col>
      <xdr:colOff>183445</xdr:colOff>
      <xdr:row>22</xdr:row>
      <xdr:rowOff>42333</xdr:rowOff>
    </xdr:from>
    <xdr:ext cx="672747" cy="586270"/>
    <xdr:pic>
      <xdr:nvPicPr>
        <xdr:cNvPr id="35" name="Imagem 34">
          <a:extLst>
            <a:ext uri="{FF2B5EF4-FFF2-40B4-BE49-F238E27FC236}">
              <a16:creationId xmlns:a16="http://schemas.microsoft.com/office/drawing/2014/main" id="{0B0D1616-D61B-4400-AB72-E29EF87454E7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3470" y="8281458"/>
          <a:ext cx="672747" cy="586270"/>
        </a:xfrm>
        <a:prstGeom prst="rect">
          <a:avLst/>
        </a:prstGeom>
      </xdr:spPr>
    </xdr:pic>
    <xdr:clientData/>
  </xdr:oneCellAnchor>
  <xdr:oneCellAnchor>
    <xdr:from>
      <xdr:col>1</xdr:col>
      <xdr:colOff>142875</xdr:colOff>
      <xdr:row>23</xdr:row>
      <xdr:rowOff>114300</xdr:rowOff>
    </xdr:from>
    <xdr:ext cx="661035" cy="474345"/>
    <xdr:pic>
      <xdr:nvPicPr>
        <xdr:cNvPr id="36" name="Imagem 35">
          <a:extLst>
            <a:ext uri="{FF2B5EF4-FFF2-40B4-BE49-F238E27FC236}">
              <a16:creationId xmlns:a16="http://schemas.microsoft.com/office/drawing/2014/main" id="{407533E7-A6C8-4E29-B790-ADCD4E9B9F9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42900" y="8982075"/>
          <a:ext cx="661035" cy="47434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183444</xdr:colOff>
      <xdr:row>11</xdr:row>
      <xdr:rowOff>42333</xdr:rowOff>
    </xdr:from>
    <xdr:to>
      <xdr:col>1</xdr:col>
      <xdr:colOff>893585</xdr:colOff>
      <xdr:row>11</xdr:row>
      <xdr:rowOff>606778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EC107D0D-32A2-6C43-9B87-155E5D457D0F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09222" y="3104444"/>
          <a:ext cx="719666" cy="564445"/>
        </a:xfrm>
        <a:prstGeom prst="rect">
          <a:avLst/>
        </a:prstGeom>
      </xdr:spPr>
    </xdr:pic>
    <xdr:clientData/>
  </xdr:twoCellAnchor>
  <xdr:twoCellAnchor editAs="oneCell">
    <xdr:from>
      <xdr:col>1</xdr:col>
      <xdr:colOff>197555</xdr:colOff>
      <xdr:row>12</xdr:row>
      <xdr:rowOff>22972</xdr:rowOff>
    </xdr:from>
    <xdr:to>
      <xdr:col>1</xdr:col>
      <xdr:colOff>898171</xdr:colOff>
      <xdr:row>12</xdr:row>
      <xdr:rowOff>591748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B6AEF556-0026-184F-B1AE-0D2E89F90FD9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23333" y="3720083"/>
          <a:ext cx="719666" cy="572586"/>
        </a:xfrm>
        <a:prstGeom prst="rect">
          <a:avLst/>
        </a:prstGeom>
      </xdr:spPr>
    </xdr:pic>
    <xdr:clientData/>
  </xdr:twoCellAnchor>
  <xdr:twoCellAnchor editAs="oneCell">
    <xdr:from>
      <xdr:col>1</xdr:col>
      <xdr:colOff>197556</xdr:colOff>
      <xdr:row>13</xdr:row>
      <xdr:rowOff>31011</xdr:rowOff>
    </xdr:from>
    <xdr:to>
      <xdr:col>1</xdr:col>
      <xdr:colOff>898172</xdr:colOff>
      <xdr:row>13</xdr:row>
      <xdr:rowOff>588866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FC24292D-0277-AE43-8B86-FBF054C9A964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23334" y="4363122"/>
          <a:ext cx="719666" cy="567380"/>
        </a:xfrm>
        <a:prstGeom prst="rect">
          <a:avLst/>
        </a:prstGeom>
      </xdr:spPr>
    </xdr:pic>
    <xdr:clientData/>
  </xdr:twoCellAnchor>
  <xdr:twoCellAnchor editAs="oneCell">
    <xdr:from>
      <xdr:col>1</xdr:col>
      <xdr:colOff>155221</xdr:colOff>
      <xdr:row>15</xdr:row>
      <xdr:rowOff>56444</xdr:rowOff>
    </xdr:from>
    <xdr:to>
      <xdr:col>1</xdr:col>
      <xdr:colOff>874887</xdr:colOff>
      <xdr:row>16</xdr:row>
      <xdr:rowOff>1764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C43A1C32-F950-474E-86AE-2A421D84F59D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0999" y="5658555"/>
          <a:ext cx="719666" cy="564445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169332</xdr:colOff>
      <xdr:row>16</xdr:row>
      <xdr:rowOff>37083</xdr:rowOff>
    </xdr:from>
    <xdr:to>
      <xdr:col>1</xdr:col>
      <xdr:colOff>892808</xdr:colOff>
      <xdr:row>16</xdr:row>
      <xdr:rowOff>609669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3FE38EC2-0E4E-364C-A2C6-BB935D526252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5110" y="6274194"/>
          <a:ext cx="719666" cy="572586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169333</xdr:colOff>
      <xdr:row>17</xdr:row>
      <xdr:rowOff>45122</xdr:rowOff>
    </xdr:from>
    <xdr:to>
      <xdr:col>1</xdr:col>
      <xdr:colOff>892809</xdr:colOff>
      <xdr:row>17</xdr:row>
      <xdr:rowOff>612502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17845414-0007-D94A-817B-8A3D244739DC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5111" y="6917233"/>
          <a:ext cx="719666" cy="567380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123826</xdr:colOff>
      <xdr:row>19</xdr:row>
      <xdr:rowOff>44238</xdr:rowOff>
    </xdr:from>
    <xdr:to>
      <xdr:col>1</xdr:col>
      <xdr:colOff>858098</xdr:colOff>
      <xdr:row>20</xdr:row>
      <xdr:rowOff>1858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648B1457-8A11-8F4E-88F9-88CA3BD9C174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33376" y="6349788"/>
          <a:ext cx="730462" cy="58627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21</xdr:row>
      <xdr:rowOff>18603</xdr:rowOff>
    </xdr:from>
    <xdr:to>
      <xdr:col>1</xdr:col>
      <xdr:colOff>858099</xdr:colOff>
      <xdr:row>21</xdr:row>
      <xdr:rowOff>606778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08499FD8-1B27-0B48-8048-21BA363EC69A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85751" y="7581453"/>
          <a:ext cx="778088" cy="588175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169333</xdr:colOff>
      <xdr:row>23</xdr:row>
      <xdr:rowOff>28222</xdr:rowOff>
    </xdr:from>
    <xdr:to>
      <xdr:col>1</xdr:col>
      <xdr:colOff>821125</xdr:colOff>
      <xdr:row>23</xdr:row>
      <xdr:rowOff>612587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8209463C-623F-5C4B-BF4E-4C6E1E885506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5111" y="10075333"/>
          <a:ext cx="663222" cy="584365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169334</xdr:colOff>
      <xdr:row>25</xdr:row>
      <xdr:rowOff>8302</xdr:rowOff>
    </xdr:from>
    <xdr:to>
      <xdr:col>1</xdr:col>
      <xdr:colOff>821126</xdr:colOff>
      <xdr:row>25</xdr:row>
      <xdr:rowOff>588857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4A96E997-1F75-FA44-8846-A2280C661873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5112" y="10690413"/>
          <a:ext cx="663222" cy="584365"/>
        </a:xfrm>
        <a:prstGeom prst="rect">
          <a:avLst/>
        </a:prstGeom>
      </xdr:spPr>
    </xdr:pic>
    <xdr:clientData/>
  </xdr:twoCellAnchor>
  <xdr:twoCellAnchor editAs="oneCell">
    <xdr:from>
      <xdr:col>1</xdr:col>
      <xdr:colOff>141113</xdr:colOff>
      <xdr:row>27</xdr:row>
      <xdr:rowOff>28223</xdr:rowOff>
    </xdr:from>
    <xdr:to>
      <xdr:col>1</xdr:col>
      <xdr:colOff>898172</xdr:colOff>
      <xdr:row>27</xdr:row>
      <xdr:rowOff>606779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B5093ADF-75B7-0944-8DB2-D8CF52686F2A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66891" y="11980334"/>
          <a:ext cx="776109" cy="578556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127001</xdr:colOff>
      <xdr:row>28</xdr:row>
      <xdr:rowOff>36523</xdr:rowOff>
    </xdr:from>
    <xdr:to>
      <xdr:col>1</xdr:col>
      <xdr:colOff>898269</xdr:colOff>
      <xdr:row>29</xdr:row>
      <xdr:rowOff>1669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408BF027-EAAE-9745-848F-083CF5D752F6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52779" y="12623634"/>
          <a:ext cx="782698" cy="578556"/>
        </a:xfrm>
        <a:prstGeom prst="rect">
          <a:avLst/>
        </a:prstGeom>
      </xdr:spPr>
    </xdr:pic>
    <xdr:clientData/>
  </xdr:twoCellAnchor>
  <xdr:twoCellAnchor editAs="oneCell">
    <xdr:from>
      <xdr:col>1</xdr:col>
      <xdr:colOff>141115</xdr:colOff>
      <xdr:row>29</xdr:row>
      <xdr:rowOff>30713</xdr:rowOff>
    </xdr:from>
    <xdr:to>
      <xdr:col>2</xdr:col>
      <xdr:colOff>0</xdr:colOff>
      <xdr:row>29</xdr:row>
      <xdr:rowOff>609269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E354D875-EFA3-6F4A-B9B8-4E96217862E8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66893" y="13252824"/>
          <a:ext cx="782698" cy="578556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127001</xdr:colOff>
      <xdr:row>31</xdr:row>
      <xdr:rowOff>28222</xdr:rowOff>
    </xdr:from>
    <xdr:to>
      <xdr:col>1</xdr:col>
      <xdr:colOff>893585</xdr:colOff>
      <xdr:row>31</xdr:row>
      <xdr:rowOff>606778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8368EFFE-37CB-2246-9769-A1165100789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52779" y="14520333"/>
          <a:ext cx="776109" cy="578556"/>
        </a:xfrm>
        <a:prstGeom prst="rect">
          <a:avLst/>
        </a:prstGeom>
      </xdr:spPr>
    </xdr:pic>
    <xdr:clientData/>
  </xdr:twoCellAnchor>
  <xdr:twoCellAnchor editAs="oneCell">
    <xdr:from>
      <xdr:col>1</xdr:col>
      <xdr:colOff>112889</xdr:colOff>
      <xdr:row>32</xdr:row>
      <xdr:rowOff>36522</xdr:rowOff>
    </xdr:from>
    <xdr:to>
      <xdr:col>1</xdr:col>
      <xdr:colOff>891777</xdr:colOff>
      <xdr:row>33</xdr:row>
      <xdr:rowOff>1668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C691C098-4C6E-484E-BA18-AB8FD9DC8E26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38667" y="15163633"/>
          <a:ext cx="782698" cy="578556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127003</xdr:colOff>
      <xdr:row>33</xdr:row>
      <xdr:rowOff>30712</xdr:rowOff>
    </xdr:from>
    <xdr:to>
      <xdr:col>1</xdr:col>
      <xdr:colOff>898271</xdr:colOff>
      <xdr:row>33</xdr:row>
      <xdr:rowOff>609268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6D480360-3401-9B49-BEF0-0918829ADA93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52781" y="15792823"/>
          <a:ext cx="782698" cy="578556"/>
        </a:xfrm>
        <a:prstGeom prst="rect">
          <a:avLst/>
        </a:prstGeom>
      </xdr:spPr>
    </xdr:pic>
    <xdr:clientData/>
  </xdr:twoCellAnchor>
  <xdr:twoCellAnchor editAs="oneCell">
    <xdr:from>
      <xdr:col>1</xdr:col>
      <xdr:colOff>186973</xdr:colOff>
      <xdr:row>35</xdr:row>
      <xdr:rowOff>28223</xdr:rowOff>
    </xdr:from>
    <xdr:to>
      <xdr:col>1</xdr:col>
      <xdr:colOff>893156</xdr:colOff>
      <xdr:row>35</xdr:row>
      <xdr:rowOff>588719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047F4CDA-EEC3-434C-88DC-A97419F6C07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12751" y="17060334"/>
          <a:ext cx="698563" cy="564306"/>
        </a:xfrm>
        <a:prstGeom prst="rect">
          <a:avLst/>
        </a:prstGeom>
      </xdr:spPr>
    </xdr:pic>
    <xdr:clientData/>
  </xdr:twoCellAnchor>
  <xdr:twoCellAnchor editAs="oneCell">
    <xdr:from>
      <xdr:col>1</xdr:col>
      <xdr:colOff>197557</xdr:colOff>
      <xdr:row>36</xdr:row>
      <xdr:rowOff>54772</xdr:rowOff>
    </xdr:from>
    <xdr:to>
      <xdr:col>1</xdr:col>
      <xdr:colOff>898242</xdr:colOff>
      <xdr:row>37</xdr:row>
      <xdr:rowOff>3225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8D767645-29B4-284A-9F0E-343E747F8C48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23335" y="17721883"/>
          <a:ext cx="704495" cy="569483"/>
        </a:xfrm>
        <a:prstGeom prst="rect">
          <a:avLst/>
        </a:prstGeom>
      </xdr:spPr>
    </xdr:pic>
    <xdr:clientData/>
  </xdr:twoCellAnchor>
  <xdr:oneCellAnchor>
    <xdr:from>
      <xdr:col>1</xdr:col>
      <xdr:colOff>199322</xdr:colOff>
      <xdr:row>37</xdr:row>
      <xdr:rowOff>43320</xdr:rowOff>
    </xdr:from>
    <xdr:ext cx="698563" cy="569483"/>
    <xdr:pic>
      <xdr:nvPicPr>
        <xdr:cNvPr id="78" name="Imagem 77">
          <a:extLst>
            <a:ext uri="{FF2B5EF4-FFF2-40B4-BE49-F238E27FC236}">
              <a16:creationId xmlns:a16="http://schemas.microsoft.com/office/drawing/2014/main" id="{D8058D29-0905-0E4D-949B-3015F811B676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25100" y="18345431"/>
          <a:ext cx="698563" cy="569483"/>
        </a:xfrm>
        <a:prstGeom prst="rect">
          <a:avLst/>
        </a:prstGeom>
      </xdr:spPr>
    </xdr:pic>
    <xdr:clientData/>
  </xdr:oneCellAnchor>
  <xdr:twoCellAnchor editAs="oneCell">
    <xdr:from>
      <xdr:col>1</xdr:col>
      <xdr:colOff>314901</xdr:colOff>
      <xdr:row>38</xdr:row>
      <xdr:rowOff>52073</xdr:rowOff>
    </xdr:from>
    <xdr:to>
      <xdr:col>1</xdr:col>
      <xdr:colOff>744079</xdr:colOff>
      <xdr:row>39</xdr:row>
      <xdr:rowOff>1704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08689FEC-7390-4F45-9845-A3442553C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40679" y="18989184"/>
          <a:ext cx="432988" cy="574471"/>
        </a:xfrm>
        <a:prstGeom prst="rect">
          <a:avLst/>
        </a:prstGeom>
      </xdr:spPr>
    </xdr:pic>
    <xdr:clientData/>
  </xdr:twoCellAnchor>
  <xdr:twoCellAnchor editAs="oneCell">
    <xdr:from>
      <xdr:col>1</xdr:col>
      <xdr:colOff>314897</xdr:colOff>
      <xdr:row>39</xdr:row>
      <xdr:rowOff>38587</xdr:rowOff>
    </xdr:from>
    <xdr:to>
      <xdr:col>1</xdr:col>
      <xdr:colOff>741342</xdr:colOff>
      <xdr:row>40</xdr:row>
      <xdr:rowOff>1763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0DE75604-4DC4-BC44-B317-B1C62D07A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40675" y="19610698"/>
          <a:ext cx="435970" cy="582301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169334</xdr:colOff>
      <xdr:row>41</xdr:row>
      <xdr:rowOff>28222</xdr:rowOff>
    </xdr:from>
    <xdr:to>
      <xdr:col>1</xdr:col>
      <xdr:colOff>860277</xdr:colOff>
      <xdr:row>41</xdr:row>
      <xdr:rowOff>588718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BD5B48B1-683D-EB47-A975-18150A0E2604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5112" y="20870333"/>
          <a:ext cx="698563" cy="564306"/>
        </a:xfrm>
        <a:prstGeom prst="rect">
          <a:avLst/>
        </a:prstGeom>
      </xdr:spPr>
    </xdr:pic>
    <xdr:clientData/>
  </xdr:twoCellAnchor>
  <xdr:twoCellAnchor editAs="oneCell">
    <xdr:from>
      <xdr:col>1</xdr:col>
      <xdr:colOff>179918</xdr:colOff>
      <xdr:row>42</xdr:row>
      <xdr:rowOff>54771</xdr:rowOff>
    </xdr:from>
    <xdr:to>
      <xdr:col>1</xdr:col>
      <xdr:colOff>892033</xdr:colOff>
      <xdr:row>43</xdr:row>
      <xdr:rowOff>3224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316C7520-EE88-5345-A4B1-98BA0E2855E8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05696" y="21531882"/>
          <a:ext cx="704495" cy="569483"/>
        </a:xfrm>
        <a:prstGeom prst="rect">
          <a:avLst/>
        </a:prstGeom>
      </xdr:spPr>
    </xdr:pic>
    <xdr:clientData/>
  </xdr:twoCellAnchor>
  <xdr:oneCellAnchor>
    <xdr:from>
      <xdr:col>1</xdr:col>
      <xdr:colOff>181683</xdr:colOff>
      <xdr:row>43</xdr:row>
      <xdr:rowOff>43319</xdr:rowOff>
    </xdr:from>
    <xdr:ext cx="698563" cy="569483"/>
    <xdr:pic>
      <xdr:nvPicPr>
        <xdr:cNvPr id="83" name="Imagem 82">
          <a:extLst>
            <a:ext uri="{FF2B5EF4-FFF2-40B4-BE49-F238E27FC236}">
              <a16:creationId xmlns:a16="http://schemas.microsoft.com/office/drawing/2014/main" id="{4E58E59E-FDD6-AB4D-8720-AA3C89CBB66A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07461" y="22155430"/>
          <a:ext cx="698563" cy="569483"/>
        </a:xfrm>
        <a:prstGeom prst="rect">
          <a:avLst/>
        </a:prstGeom>
      </xdr:spPr>
    </xdr:pic>
    <xdr:clientData/>
  </xdr:oneCellAnchor>
  <xdr:twoCellAnchor editAs="oneCell">
    <xdr:from>
      <xdr:col>1</xdr:col>
      <xdr:colOff>297262</xdr:colOff>
      <xdr:row>44</xdr:row>
      <xdr:rowOff>52072</xdr:rowOff>
    </xdr:from>
    <xdr:to>
      <xdr:col>1</xdr:col>
      <xdr:colOff>743585</xdr:colOff>
      <xdr:row>45</xdr:row>
      <xdr:rowOff>1703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0865FBB2-5E22-E649-8AB5-FD491191F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23040" y="22799183"/>
          <a:ext cx="432988" cy="574471"/>
        </a:xfrm>
        <a:prstGeom prst="rect">
          <a:avLst/>
        </a:prstGeom>
      </xdr:spPr>
    </xdr:pic>
    <xdr:clientData/>
  </xdr:twoCellAnchor>
  <xdr:twoCellAnchor editAs="oneCell">
    <xdr:from>
      <xdr:col>1</xdr:col>
      <xdr:colOff>297258</xdr:colOff>
      <xdr:row>45</xdr:row>
      <xdr:rowOff>38586</xdr:rowOff>
    </xdr:from>
    <xdr:to>
      <xdr:col>1</xdr:col>
      <xdr:colOff>740848</xdr:colOff>
      <xdr:row>46</xdr:row>
      <xdr:rowOff>1762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51C187C4-0820-1D47-90F6-114F64A2B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23036" y="23420697"/>
          <a:ext cx="435970" cy="582301"/>
        </a:xfrm>
        <a:prstGeom prst="rect">
          <a:avLst/>
        </a:prstGeom>
      </xdr:spPr>
    </xdr:pic>
    <xdr:clientData/>
  </xdr:twoCellAnchor>
  <xdr:twoCellAnchor editAs="oneCell">
    <xdr:from>
      <xdr:col>1</xdr:col>
      <xdr:colOff>183445</xdr:colOff>
      <xdr:row>47</xdr:row>
      <xdr:rowOff>28223</xdr:rowOff>
    </xdr:from>
    <xdr:to>
      <xdr:col>1</xdr:col>
      <xdr:colOff>821409</xdr:colOff>
      <xdr:row>47</xdr:row>
      <xdr:rowOff>612589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203BB036-AA12-0444-9237-46EAD7C33298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09223" y="24680334"/>
          <a:ext cx="645584" cy="584366"/>
        </a:xfrm>
        <a:prstGeom prst="rect">
          <a:avLst/>
        </a:prstGeom>
      </xdr:spPr>
    </xdr:pic>
    <xdr:clientData/>
  </xdr:twoCellAnchor>
  <xdr:twoCellAnchor editAs="oneCell">
    <xdr:from>
      <xdr:col>1</xdr:col>
      <xdr:colOff>229306</xdr:colOff>
      <xdr:row>48</xdr:row>
      <xdr:rowOff>36524</xdr:rowOff>
    </xdr:from>
    <xdr:to>
      <xdr:col>1</xdr:col>
      <xdr:colOff>874890</xdr:colOff>
      <xdr:row>49</xdr:row>
      <xdr:rowOff>1765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3A7B5EA6-B14B-CF4B-95C4-E6A262F6AEE2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55084" y="25323635"/>
          <a:ext cx="645584" cy="584366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169334</xdr:colOff>
      <xdr:row>50</xdr:row>
      <xdr:rowOff>42333</xdr:rowOff>
    </xdr:from>
    <xdr:to>
      <xdr:col>1</xdr:col>
      <xdr:colOff>818728</xdr:colOff>
      <xdr:row>51</xdr:row>
      <xdr:rowOff>1859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E0B3198A-EC96-774E-9DE6-4B8E28690B8A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5112" y="26599444"/>
          <a:ext cx="645584" cy="584366"/>
        </a:xfrm>
        <a:prstGeom prst="rect">
          <a:avLst/>
        </a:prstGeom>
      </xdr:spPr>
    </xdr:pic>
    <xdr:clientData/>
  </xdr:twoCellAnchor>
  <xdr:twoCellAnchor editAs="oneCell">
    <xdr:from>
      <xdr:col>1</xdr:col>
      <xdr:colOff>215195</xdr:colOff>
      <xdr:row>51</xdr:row>
      <xdr:rowOff>50634</xdr:rowOff>
    </xdr:from>
    <xdr:to>
      <xdr:col>1</xdr:col>
      <xdr:colOff>856969</xdr:colOff>
      <xdr:row>52</xdr:row>
      <xdr:rowOff>0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8B51D174-D8B5-4243-B776-00DD57ABAD36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40973" y="27242745"/>
          <a:ext cx="645584" cy="584366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1524000</xdr:colOff>
      <xdr:row>1</xdr:row>
      <xdr:rowOff>38100</xdr:rowOff>
    </xdr:from>
    <xdr:to>
      <xdr:col>15</xdr:col>
      <xdr:colOff>374650</xdr:colOff>
      <xdr:row>1</xdr:row>
      <xdr:rowOff>592895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E3CF42C1-60EB-8B55-9025-356EB75B2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381500" y="177800"/>
          <a:ext cx="5969000" cy="55098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20</xdr:row>
      <xdr:rowOff>87630</xdr:rowOff>
    </xdr:from>
    <xdr:to>
      <xdr:col>1</xdr:col>
      <xdr:colOff>739141</xdr:colOff>
      <xdr:row>20</xdr:row>
      <xdr:rowOff>588645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5D7F3862-8EB3-4321-961A-91B42664D2D5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04800" y="7021830"/>
          <a:ext cx="640081" cy="504825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24</xdr:row>
      <xdr:rowOff>38100</xdr:rowOff>
    </xdr:from>
    <xdr:to>
      <xdr:col>1</xdr:col>
      <xdr:colOff>763905</xdr:colOff>
      <xdr:row>24</xdr:row>
      <xdr:rowOff>533400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FDC70831-325F-4546-AC0F-22FA892B6DA7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76225" y="8896350"/>
          <a:ext cx="697230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25400</xdr:colOff>
      <xdr:row>1</xdr:row>
      <xdr:rowOff>38100</xdr:rowOff>
    </xdr:from>
    <xdr:to>
      <xdr:col>14</xdr:col>
      <xdr:colOff>266700</xdr:colOff>
      <xdr:row>1</xdr:row>
      <xdr:rowOff>877915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70C620-9B7F-410B-B124-1EF62A4E3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4625" y="180975"/>
          <a:ext cx="3241675" cy="839815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11</xdr:row>
      <xdr:rowOff>50800</xdr:rowOff>
    </xdr:from>
    <xdr:to>
      <xdr:col>1</xdr:col>
      <xdr:colOff>854143</xdr:colOff>
      <xdr:row>11</xdr:row>
      <xdr:rowOff>589280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66062FA-F4AF-4EAA-A70A-B8B07A7F47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65125" y="2813050"/>
          <a:ext cx="689043" cy="53848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188626</xdr:colOff>
      <xdr:row>15</xdr:row>
      <xdr:rowOff>63500</xdr:rowOff>
    </xdr:from>
    <xdr:to>
      <xdr:col>1</xdr:col>
      <xdr:colOff>855980</xdr:colOff>
      <xdr:row>15</xdr:row>
      <xdr:rowOff>609600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B372C9E-0FF3-4E2C-8A5D-364C1F2ECC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8651" y="5340350"/>
          <a:ext cx="667354" cy="5461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154953</xdr:colOff>
      <xdr:row>12</xdr:row>
      <xdr:rowOff>31750</xdr:rowOff>
    </xdr:from>
    <xdr:to>
      <xdr:col>1</xdr:col>
      <xdr:colOff>818497</xdr:colOff>
      <xdr:row>12</xdr:row>
      <xdr:rowOff>587375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61A4006-EB33-43EC-8D95-979D539E37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4978" y="3422650"/>
          <a:ext cx="663544" cy="55562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175352</xdr:colOff>
      <xdr:row>14</xdr:row>
      <xdr:rowOff>53975</xdr:rowOff>
    </xdr:from>
    <xdr:to>
      <xdr:col>1</xdr:col>
      <xdr:colOff>857946</xdr:colOff>
      <xdr:row>14</xdr:row>
      <xdr:rowOff>588425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625D1F0-BEB8-43EB-8CC8-42FA49B5FD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5377" y="4702175"/>
          <a:ext cx="682594" cy="53445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149225</xdr:colOff>
      <xdr:row>13</xdr:row>
      <xdr:rowOff>63500</xdr:rowOff>
    </xdr:from>
    <xdr:to>
      <xdr:col>1</xdr:col>
      <xdr:colOff>819655</xdr:colOff>
      <xdr:row>13</xdr:row>
      <xdr:rowOff>609600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1039599-AFAC-4CD6-A453-0364320195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9250" y="4083050"/>
          <a:ext cx="670430" cy="5461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142875</xdr:colOff>
      <xdr:row>17</xdr:row>
      <xdr:rowOff>50800</xdr:rowOff>
    </xdr:from>
    <xdr:to>
      <xdr:col>1</xdr:col>
      <xdr:colOff>822393</xdr:colOff>
      <xdr:row>17</xdr:row>
      <xdr:rowOff>589280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793802D6-70B8-44D2-ACC2-936064701E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42900" y="5994400"/>
          <a:ext cx="679518" cy="53848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166401</xdr:colOff>
      <xdr:row>21</xdr:row>
      <xdr:rowOff>63500</xdr:rowOff>
    </xdr:from>
    <xdr:to>
      <xdr:col>1</xdr:col>
      <xdr:colOff>841375</xdr:colOff>
      <xdr:row>21</xdr:row>
      <xdr:rowOff>609600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C776E41B-BF31-45F8-9C25-18B84C1B90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66426" y="8521700"/>
          <a:ext cx="674974" cy="5461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132728</xdr:colOff>
      <xdr:row>18</xdr:row>
      <xdr:rowOff>31750</xdr:rowOff>
    </xdr:from>
    <xdr:to>
      <xdr:col>1</xdr:col>
      <xdr:colOff>817227</xdr:colOff>
      <xdr:row>18</xdr:row>
      <xdr:rowOff>587375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DD7461F4-7913-4153-B980-A96F500901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2753" y="6604000"/>
          <a:ext cx="684499" cy="55562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153127</xdr:colOff>
      <xdr:row>20</xdr:row>
      <xdr:rowOff>53975</xdr:rowOff>
    </xdr:from>
    <xdr:to>
      <xdr:col>1</xdr:col>
      <xdr:colOff>822386</xdr:colOff>
      <xdr:row>20</xdr:row>
      <xdr:rowOff>588425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25430229-BE50-40A9-98E0-3505997CCE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3152" y="7883525"/>
          <a:ext cx="669259" cy="53445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127000</xdr:colOff>
      <xdr:row>19</xdr:row>
      <xdr:rowOff>63500</xdr:rowOff>
    </xdr:from>
    <xdr:to>
      <xdr:col>1</xdr:col>
      <xdr:colOff>797430</xdr:colOff>
      <xdr:row>19</xdr:row>
      <xdr:rowOff>609600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E7644E45-043F-4686-8046-80E0F47801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7025" y="7264400"/>
          <a:ext cx="670430" cy="5461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155575</xdr:colOff>
      <xdr:row>23</xdr:row>
      <xdr:rowOff>38100</xdr:rowOff>
    </xdr:from>
    <xdr:to>
      <xdr:col>1</xdr:col>
      <xdr:colOff>835093</xdr:colOff>
      <xdr:row>23</xdr:row>
      <xdr:rowOff>591820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71A51DEF-3B7E-4671-A95A-7749BA84F7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55600" y="9163050"/>
          <a:ext cx="679518" cy="55372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179101</xdr:colOff>
      <xdr:row>27</xdr:row>
      <xdr:rowOff>50800</xdr:rowOff>
    </xdr:from>
    <xdr:to>
      <xdr:col>1</xdr:col>
      <xdr:colOff>854075</xdr:colOff>
      <xdr:row>27</xdr:row>
      <xdr:rowOff>589280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1E71837E-F924-4481-8BDD-0BEC079726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79126" y="11690350"/>
          <a:ext cx="674974" cy="53848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145428</xdr:colOff>
      <xdr:row>24</xdr:row>
      <xdr:rowOff>19050</xdr:rowOff>
    </xdr:from>
    <xdr:to>
      <xdr:col>1</xdr:col>
      <xdr:colOff>820402</xdr:colOff>
      <xdr:row>24</xdr:row>
      <xdr:rowOff>555625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958CEF0D-C6AD-440D-9000-7F18A24789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5453" y="9772650"/>
          <a:ext cx="674974" cy="53657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165827</xdr:colOff>
      <xdr:row>26</xdr:row>
      <xdr:rowOff>41275</xdr:rowOff>
    </xdr:from>
    <xdr:to>
      <xdr:col>1</xdr:col>
      <xdr:colOff>840801</xdr:colOff>
      <xdr:row>26</xdr:row>
      <xdr:rowOff>590965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9727E91E-5373-4A69-BFEF-4E681779C0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5852" y="11052175"/>
          <a:ext cx="674974" cy="54969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139700</xdr:colOff>
      <xdr:row>25</xdr:row>
      <xdr:rowOff>50800</xdr:rowOff>
    </xdr:from>
    <xdr:to>
      <xdr:col>1</xdr:col>
      <xdr:colOff>815845</xdr:colOff>
      <xdr:row>25</xdr:row>
      <xdr:rowOff>589280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DB5F5C71-88CB-45D3-BE12-85CE20AA57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9725" y="10433050"/>
          <a:ext cx="676145" cy="53848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162414</xdr:colOff>
      <xdr:row>31</xdr:row>
      <xdr:rowOff>47776</xdr:rowOff>
    </xdr:from>
    <xdr:to>
      <xdr:col>1</xdr:col>
      <xdr:colOff>854904</xdr:colOff>
      <xdr:row>31</xdr:row>
      <xdr:rowOff>610525</xdr:rowOff>
    </xdr:to>
    <xdr:pic>
      <xdr:nvPicPr>
        <xdr:cNvPr id="18" name="Imagem 17" descr="Desenho preto e branco&#10;&#10;O conteúdo gerado por IA pode estar incorreto.">
          <a:extLst>
            <a:ext uri="{FF2B5EF4-FFF2-40B4-BE49-F238E27FC236}">
              <a16:creationId xmlns:a16="http://schemas.microsoft.com/office/drawing/2014/main" id="{25B78174-EA28-4F3D-8536-BE381D7511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62439" y="13611376"/>
          <a:ext cx="692490" cy="56274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156655</xdr:colOff>
      <xdr:row>32</xdr:row>
      <xdr:rowOff>44449</xdr:rowOff>
    </xdr:from>
    <xdr:to>
      <xdr:col>1</xdr:col>
      <xdr:colOff>854039</xdr:colOff>
      <xdr:row>32</xdr:row>
      <xdr:rowOff>593551</xdr:rowOff>
    </xdr:to>
    <xdr:pic>
      <xdr:nvPicPr>
        <xdr:cNvPr id="19" name="Imagem 18" descr="Desenho preto e branco&#10;&#10;O conteúdo gerado por IA pode estar incorreto.">
          <a:extLst>
            <a:ext uri="{FF2B5EF4-FFF2-40B4-BE49-F238E27FC236}">
              <a16:creationId xmlns:a16="http://schemas.microsoft.com/office/drawing/2014/main" id="{A9093656-B8FD-483C-ABE0-7303A56DAA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56680" y="14236699"/>
          <a:ext cx="697384" cy="549102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177800</xdr:colOff>
      <xdr:row>33</xdr:row>
      <xdr:rowOff>63500</xdr:rowOff>
    </xdr:from>
    <xdr:to>
      <xdr:col>1</xdr:col>
      <xdr:colOff>855114</xdr:colOff>
      <xdr:row>33</xdr:row>
      <xdr:rowOff>590109</xdr:rowOff>
    </xdr:to>
    <xdr:pic>
      <xdr:nvPicPr>
        <xdr:cNvPr id="20" name="Imagem 19" descr="Desenho preto e branco&#10;&#10;O conteúdo gerado por IA pode estar incorreto.">
          <a:extLst>
            <a:ext uri="{FF2B5EF4-FFF2-40B4-BE49-F238E27FC236}">
              <a16:creationId xmlns:a16="http://schemas.microsoft.com/office/drawing/2014/main" id="{AC027199-89BA-4E97-85B6-7C7374CEA1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77825" y="14884400"/>
          <a:ext cx="677314" cy="52660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193072</xdr:colOff>
      <xdr:row>30</xdr:row>
      <xdr:rowOff>25574</xdr:rowOff>
    </xdr:from>
    <xdr:to>
      <xdr:col>1</xdr:col>
      <xdr:colOff>876300</xdr:colOff>
      <xdr:row>30</xdr:row>
      <xdr:rowOff>591820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8902EF87-E65C-4BD9-A007-BF51500688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3097" y="12960524"/>
          <a:ext cx="683228" cy="56624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177800</xdr:colOff>
      <xdr:row>29</xdr:row>
      <xdr:rowOff>38100</xdr:rowOff>
    </xdr:from>
    <xdr:to>
      <xdr:col>2</xdr:col>
      <xdr:colOff>1270</xdr:colOff>
      <xdr:row>29</xdr:row>
      <xdr:rowOff>571500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19CBF0DB-6E81-4098-886F-D94B48AEC3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7825" y="12344400"/>
          <a:ext cx="718820" cy="533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170859</xdr:colOff>
      <xdr:row>37</xdr:row>
      <xdr:rowOff>47776</xdr:rowOff>
    </xdr:from>
    <xdr:to>
      <xdr:col>1</xdr:col>
      <xdr:colOff>855729</xdr:colOff>
      <xdr:row>37</xdr:row>
      <xdr:rowOff>610525</xdr:rowOff>
    </xdr:to>
    <xdr:pic>
      <xdr:nvPicPr>
        <xdr:cNvPr id="23" name="Imagem 22" descr="Desenho preto e branco&#10;&#10;O conteúdo gerado por IA pode estar incorreto.">
          <a:extLst>
            <a:ext uri="{FF2B5EF4-FFF2-40B4-BE49-F238E27FC236}">
              <a16:creationId xmlns:a16="http://schemas.microsoft.com/office/drawing/2014/main" id="{7066991C-FFA5-4EB6-8222-0D774CAA2A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70884" y="16792726"/>
          <a:ext cx="684870" cy="56274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165100</xdr:colOff>
      <xdr:row>38</xdr:row>
      <xdr:rowOff>44449</xdr:rowOff>
    </xdr:from>
    <xdr:to>
      <xdr:col>1</xdr:col>
      <xdr:colOff>860579</xdr:colOff>
      <xdr:row>38</xdr:row>
      <xdr:rowOff>593551</xdr:rowOff>
    </xdr:to>
    <xdr:pic>
      <xdr:nvPicPr>
        <xdr:cNvPr id="24" name="Imagem 23" descr="Desenho preto e branco&#10;&#10;O conteúdo gerado por IA pode estar incorreto.">
          <a:extLst>
            <a:ext uri="{FF2B5EF4-FFF2-40B4-BE49-F238E27FC236}">
              <a16:creationId xmlns:a16="http://schemas.microsoft.com/office/drawing/2014/main" id="{1A5F6B75-4415-4382-A8EF-545E444F22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65125" y="17418049"/>
          <a:ext cx="695479" cy="549102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186245</xdr:colOff>
      <xdr:row>39</xdr:row>
      <xdr:rowOff>63500</xdr:rowOff>
    </xdr:from>
    <xdr:to>
      <xdr:col>1</xdr:col>
      <xdr:colOff>855939</xdr:colOff>
      <xdr:row>39</xdr:row>
      <xdr:rowOff>590109</xdr:rowOff>
    </xdr:to>
    <xdr:pic>
      <xdr:nvPicPr>
        <xdr:cNvPr id="25" name="Imagem 24" descr="Desenho preto e branco&#10;&#10;O conteúdo gerado por IA pode estar incorreto.">
          <a:extLst>
            <a:ext uri="{FF2B5EF4-FFF2-40B4-BE49-F238E27FC236}">
              <a16:creationId xmlns:a16="http://schemas.microsoft.com/office/drawing/2014/main" id="{2A891BA5-65CC-4308-B631-32EBB8D460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6270" y="18065750"/>
          <a:ext cx="669694" cy="52660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201517</xdr:colOff>
      <xdr:row>36</xdr:row>
      <xdr:rowOff>25574</xdr:rowOff>
    </xdr:from>
    <xdr:to>
      <xdr:col>2</xdr:col>
      <xdr:colOff>825</xdr:colOff>
      <xdr:row>36</xdr:row>
      <xdr:rowOff>591820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A52B11C8-12CB-47E7-9AE1-740B98930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1542" y="16141874"/>
          <a:ext cx="694658" cy="56624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186245</xdr:colOff>
      <xdr:row>35</xdr:row>
      <xdr:rowOff>38100</xdr:rowOff>
    </xdr:from>
    <xdr:to>
      <xdr:col>2</xdr:col>
      <xdr:colOff>2095</xdr:colOff>
      <xdr:row>35</xdr:row>
      <xdr:rowOff>571500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58EBEE79-739C-4C89-BE30-A75496DBED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6270" y="15525750"/>
          <a:ext cx="711200" cy="533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170859</xdr:colOff>
      <xdr:row>43</xdr:row>
      <xdr:rowOff>47776</xdr:rowOff>
    </xdr:from>
    <xdr:to>
      <xdr:col>1</xdr:col>
      <xdr:colOff>855729</xdr:colOff>
      <xdr:row>43</xdr:row>
      <xdr:rowOff>610525</xdr:rowOff>
    </xdr:to>
    <xdr:pic>
      <xdr:nvPicPr>
        <xdr:cNvPr id="28" name="Imagem 27" descr="Desenho preto e branco&#10;&#10;O conteúdo gerado por IA pode estar incorreto.">
          <a:extLst>
            <a:ext uri="{FF2B5EF4-FFF2-40B4-BE49-F238E27FC236}">
              <a16:creationId xmlns:a16="http://schemas.microsoft.com/office/drawing/2014/main" id="{D2439592-80B1-4B47-A4E9-5D47D9C4A3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70884" y="19974076"/>
          <a:ext cx="684870" cy="56274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165100</xdr:colOff>
      <xdr:row>44</xdr:row>
      <xdr:rowOff>44449</xdr:rowOff>
    </xdr:from>
    <xdr:to>
      <xdr:col>1</xdr:col>
      <xdr:colOff>860579</xdr:colOff>
      <xdr:row>44</xdr:row>
      <xdr:rowOff>593551</xdr:rowOff>
    </xdr:to>
    <xdr:pic>
      <xdr:nvPicPr>
        <xdr:cNvPr id="29" name="Imagem 28" descr="Desenho preto e branco&#10;&#10;O conteúdo gerado por IA pode estar incorreto.">
          <a:extLst>
            <a:ext uri="{FF2B5EF4-FFF2-40B4-BE49-F238E27FC236}">
              <a16:creationId xmlns:a16="http://schemas.microsoft.com/office/drawing/2014/main" id="{8D1A09CC-FB7B-4A2A-B53E-3A90C94E7B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65125" y="20599399"/>
          <a:ext cx="695479" cy="549102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186245</xdr:colOff>
      <xdr:row>45</xdr:row>
      <xdr:rowOff>63500</xdr:rowOff>
    </xdr:from>
    <xdr:to>
      <xdr:col>1</xdr:col>
      <xdr:colOff>855939</xdr:colOff>
      <xdr:row>45</xdr:row>
      <xdr:rowOff>590109</xdr:rowOff>
    </xdr:to>
    <xdr:pic>
      <xdr:nvPicPr>
        <xdr:cNvPr id="30" name="Imagem 29" descr="Desenho preto e branco&#10;&#10;O conteúdo gerado por IA pode estar incorreto.">
          <a:extLst>
            <a:ext uri="{FF2B5EF4-FFF2-40B4-BE49-F238E27FC236}">
              <a16:creationId xmlns:a16="http://schemas.microsoft.com/office/drawing/2014/main" id="{38DE62E0-1C76-418D-8977-B7320A6517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6270" y="21247100"/>
          <a:ext cx="669694" cy="52660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201517</xdr:colOff>
      <xdr:row>42</xdr:row>
      <xdr:rowOff>25574</xdr:rowOff>
    </xdr:from>
    <xdr:to>
      <xdr:col>2</xdr:col>
      <xdr:colOff>825</xdr:colOff>
      <xdr:row>42</xdr:row>
      <xdr:rowOff>591820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441DEAC8-D199-42D9-9586-9FA1DF1AF0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1542" y="19323224"/>
          <a:ext cx="694658" cy="56624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186245</xdr:colOff>
      <xdr:row>41</xdr:row>
      <xdr:rowOff>38100</xdr:rowOff>
    </xdr:from>
    <xdr:to>
      <xdr:col>2</xdr:col>
      <xdr:colOff>2095</xdr:colOff>
      <xdr:row>41</xdr:row>
      <xdr:rowOff>571500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4CD032CE-DC1F-459F-B88D-B51AB23A90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6270" y="18707100"/>
          <a:ext cx="711200" cy="533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oneCellAnchor>
    <xdr:from>
      <xdr:col>1</xdr:col>
      <xdr:colOff>203200</xdr:colOff>
      <xdr:row>49</xdr:row>
      <xdr:rowOff>35077</xdr:rowOff>
    </xdr:from>
    <xdr:ext cx="682537" cy="543434"/>
    <xdr:pic>
      <xdr:nvPicPr>
        <xdr:cNvPr id="33" name="Imagem 32" descr="Desenho preto e branco&#10;&#10;O conteúdo gerado por IA pode estar incorreto.">
          <a:extLst>
            <a:ext uri="{FF2B5EF4-FFF2-40B4-BE49-F238E27FC236}">
              <a16:creationId xmlns:a16="http://schemas.microsoft.com/office/drawing/2014/main" id="{4631C1FF-0260-4CE7-A620-C3053212B4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03225" y="23142727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186421</xdr:colOff>
      <xdr:row>50</xdr:row>
      <xdr:rowOff>44450</xdr:rowOff>
    </xdr:from>
    <xdr:ext cx="682537" cy="543434"/>
    <xdr:pic>
      <xdr:nvPicPr>
        <xdr:cNvPr id="34" name="Imagem 33" descr="Desenho preto e branco&#10;&#10;O conteúdo gerado por IA pode estar incorreto.">
          <a:extLst>
            <a:ext uri="{FF2B5EF4-FFF2-40B4-BE49-F238E27FC236}">
              <a16:creationId xmlns:a16="http://schemas.microsoft.com/office/drawing/2014/main" id="{268D5E3E-E3C8-4D0F-839C-1B882D10D5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6446" y="23780750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206463</xdr:colOff>
      <xdr:row>51</xdr:row>
      <xdr:rowOff>78866</xdr:rowOff>
    </xdr:from>
    <xdr:ext cx="682537" cy="543434"/>
    <xdr:pic>
      <xdr:nvPicPr>
        <xdr:cNvPr id="35" name="Imagem 34" descr="Desenho preto e branco&#10;&#10;O conteúdo gerado por IA pode estar incorreto.">
          <a:extLst>
            <a:ext uri="{FF2B5EF4-FFF2-40B4-BE49-F238E27FC236}">
              <a16:creationId xmlns:a16="http://schemas.microsoft.com/office/drawing/2014/main" id="{74D5F9F5-504E-423C-8D79-14CCED3AE1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06488" y="24443816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186420</xdr:colOff>
      <xdr:row>48</xdr:row>
      <xdr:rowOff>50974</xdr:rowOff>
    </xdr:from>
    <xdr:ext cx="682537" cy="538421"/>
    <xdr:pic>
      <xdr:nvPicPr>
        <xdr:cNvPr id="36" name="Imagem 35">
          <a:extLst>
            <a:ext uri="{FF2B5EF4-FFF2-40B4-BE49-F238E27FC236}">
              <a16:creationId xmlns:a16="http://schemas.microsoft.com/office/drawing/2014/main" id="{98588ACA-3B57-410A-81B6-33EEF8348F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6445" y="22529974"/>
          <a:ext cx="682537" cy="538421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182166</xdr:colOff>
      <xdr:row>47</xdr:row>
      <xdr:rowOff>50800</xdr:rowOff>
    </xdr:from>
    <xdr:ext cx="682537" cy="543434"/>
    <xdr:pic>
      <xdr:nvPicPr>
        <xdr:cNvPr id="37" name="Imagem 36">
          <a:extLst>
            <a:ext uri="{FF2B5EF4-FFF2-40B4-BE49-F238E27FC236}">
              <a16:creationId xmlns:a16="http://schemas.microsoft.com/office/drawing/2014/main" id="{FBCEAD46-4AA3-4DCD-9C0F-9ED863C9FE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2191" y="21901150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224234</xdr:colOff>
      <xdr:row>55</xdr:row>
      <xdr:rowOff>47777</xdr:rowOff>
    </xdr:from>
    <xdr:ext cx="682537" cy="543434"/>
    <xdr:pic>
      <xdr:nvPicPr>
        <xdr:cNvPr id="38" name="Imagem 37" descr="Desenho preto e branco&#10;&#10;O conteúdo gerado por IA pode estar incorreto.">
          <a:extLst>
            <a:ext uri="{FF2B5EF4-FFF2-40B4-BE49-F238E27FC236}">
              <a16:creationId xmlns:a16="http://schemas.microsoft.com/office/drawing/2014/main" id="{AAB1951B-AEB0-482F-9177-8C83B52ADD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24259" y="26336777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207455</xdr:colOff>
      <xdr:row>56</xdr:row>
      <xdr:rowOff>57150</xdr:rowOff>
    </xdr:from>
    <xdr:ext cx="682537" cy="543434"/>
    <xdr:pic>
      <xdr:nvPicPr>
        <xdr:cNvPr id="39" name="Imagem 38" descr="Desenho preto e branco&#10;&#10;O conteúdo gerado por IA pode estar incorreto.">
          <a:extLst>
            <a:ext uri="{FF2B5EF4-FFF2-40B4-BE49-F238E27FC236}">
              <a16:creationId xmlns:a16="http://schemas.microsoft.com/office/drawing/2014/main" id="{E1BB5F21-D1A1-4C36-9403-00F33C4A8D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07480" y="26974800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227497</xdr:colOff>
      <xdr:row>57</xdr:row>
      <xdr:rowOff>78866</xdr:rowOff>
    </xdr:from>
    <xdr:ext cx="682537" cy="543434"/>
    <xdr:pic>
      <xdr:nvPicPr>
        <xdr:cNvPr id="40" name="Imagem 39" descr="Desenho preto e branco&#10;&#10;O conteúdo gerado por IA pode estar incorreto.">
          <a:extLst>
            <a:ext uri="{FF2B5EF4-FFF2-40B4-BE49-F238E27FC236}">
              <a16:creationId xmlns:a16="http://schemas.microsoft.com/office/drawing/2014/main" id="{830689F9-3EC4-4B81-BC13-F526CFE898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27522" y="27625166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207454</xdr:colOff>
      <xdr:row>54</xdr:row>
      <xdr:rowOff>63674</xdr:rowOff>
    </xdr:from>
    <xdr:ext cx="682537" cy="538421"/>
    <xdr:pic>
      <xdr:nvPicPr>
        <xdr:cNvPr id="41" name="Imagem 40">
          <a:extLst>
            <a:ext uri="{FF2B5EF4-FFF2-40B4-BE49-F238E27FC236}">
              <a16:creationId xmlns:a16="http://schemas.microsoft.com/office/drawing/2014/main" id="{1A47F43C-8984-42DA-98B9-E2438CBB52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7479" y="25724024"/>
          <a:ext cx="682537" cy="538421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203200</xdr:colOff>
      <xdr:row>53</xdr:row>
      <xdr:rowOff>63500</xdr:rowOff>
    </xdr:from>
    <xdr:ext cx="682537" cy="543434"/>
    <xdr:pic>
      <xdr:nvPicPr>
        <xdr:cNvPr id="42" name="Imagem 41">
          <a:extLst>
            <a:ext uri="{FF2B5EF4-FFF2-40B4-BE49-F238E27FC236}">
              <a16:creationId xmlns:a16="http://schemas.microsoft.com/office/drawing/2014/main" id="{278E6841-CEEC-449E-8A3C-D21186D156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3225" y="25095200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186134</xdr:colOff>
      <xdr:row>61</xdr:row>
      <xdr:rowOff>22377</xdr:rowOff>
    </xdr:from>
    <xdr:ext cx="682537" cy="543434"/>
    <xdr:pic>
      <xdr:nvPicPr>
        <xdr:cNvPr id="43" name="Imagem 42" descr="Desenho preto e branco&#10;&#10;O conteúdo gerado por IA pode estar incorreto.">
          <a:extLst>
            <a:ext uri="{FF2B5EF4-FFF2-40B4-BE49-F238E27FC236}">
              <a16:creationId xmlns:a16="http://schemas.microsoft.com/office/drawing/2014/main" id="{AA4F45F8-93F1-4B17-A3A0-BF40C7F1C0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6159" y="29492727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169355</xdr:colOff>
      <xdr:row>62</xdr:row>
      <xdr:rowOff>31750</xdr:rowOff>
    </xdr:from>
    <xdr:ext cx="682537" cy="543434"/>
    <xdr:pic>
      <xdr:nvPicPr>
        <xdr:cNvPr id="44" name="Imagem 43" descr="Desenho preto e branco&#10;&#10;O conteúdo gerado por IA pode estar incorreto.">
          <a:extLst>
            <a:ext uri="{FF2B5EF4-FFF2-40B4-BE49-F238E27FC236}">
              <a16:creationId xmlns:a16="http://schemas.microsoft.com/office/drawing/2014/main" id="{4BADAE2F-9B74-4DD4-B09F-5C20B6029E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69380" y="30130750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189397</xdr:colOff>
      <xdr:row>63</xdr:row>
      <xdr:rowOff>66166</xdr:rowOff>
    </xdr:from>
    <xdr:ext cx="682537" cy="543434"/>
    <xdr:pic>
      <xdr:nvPicPr>
        <xdr:cNvPr id="45" name="Imagem 44" descr="Desenho preto e branco&#10;&#10;O conteúdo gerado por IA pode estar incorreto.">
          <a:extLst>
            <a:ext uri="{FF2B5EF4-FFF2-40B4-BE49-F238E27FC236}">
              <a16:creationId xmlns:a16="http://schemas.microsoft.com/office/drawing/2014/main" id="{6B247138-A88C-4927-9230-6292306BEA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9422" y="30793816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169354</xdr:colOff>
      <xdr:row>60</xdr:row>
      <xdr:rowOff>38274</xdr:rowOff>
    </xdr:from>
    <xdr:ext cx="682537" cy="538421"/>
    <xdr:pic>
      <xdr:nvPicPr>
        <xdr:cNvPr id="46" name="Imagem 45">
          <a:extLst>
            <a:ext uri="{FF2B5EF4-FFF2-40B4-BE49-F238E27FC236}">
              <a16:creationId xmlns:a16="http://schemas.microsoft.com/office/drawing/2014/main" id="{8C4DABB2-BC86-46E4-842F-D139304900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9379" y="28879974"/>
          <a:ext cx="682537" cy="538421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165100</xdr:colOff>
      <xdr:row>59</xdr:row>
      <xdr:rowOff>38100</xdr:rowOff>
    </xdr:from>
    <xdr:ext cx="682537" cy="543434"/>
    <xdr:pic>
      <xdr:nvPicPr>
        <xdr:cNvPr id="47" name="Imagem 46">
          <a:extLst>
            <a:ext uri="{FF2B5EF4-FFF2-40B4-BE49-F238E27FC236}">
              <a16:creationId xmlns:a16="http://schemas.microsoft.com/office/drawing/2014/main" id="{00E014C3-6E63-4C16-8F7C-398D59A728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5125" y="28251150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81B6-C71D-4B09-A3FC-18D1313D86E5}">
  <dimension ref="B1:V50"/>
  <sheetViews>
    <sheetView showGridLines="0" tabSelected="1" zoomScale="80" zoomScaleNormal="80" workbookViewId="0">
      <selection activeCell="C5" sqref="C5:Q5"/>
    </sheetView>
  </sheetViews>
  <sheetFormatPr defaultColWidth="8.85546875" defaultRowHeight="15" x14ac:dyDescent="0.25"/>
  <cols>
    <col min="1" max="1" width="3" style="6" customWidth="1"/>
    <col min="2" max="2" width="13.42578125" style="6" customWidth="1"/>
    <col min="3" max="3" width="12.140625" style="6" customWidth="1"/>
    <col min="4" max="4" width="11.42578125" style="7" customWidth="1"/>
    <col min="5" max="5" width="28.28515625" style="7" customWidth="1"/>
    <col min="6" max="16" width="6.42578125" style="6" customWidth="1"/>
    <col min="17" max="17" width="14.42578125" style="6" customWidth="1"/>
    <col min="18" max="18" width="14.140625" style="6" customWidth="1"/>
    <col min="19" max="19" width="11.7109375" style="6" customWidth="1"/>
    <col min="20" max="20" width="13.42578125" style="6" customWidth="1"/>
    <col min="21" max="22" width="3.42578125" style="6" customWidth="1"/>
    <col min="23" max="16384" width="8.85546875" style="6"/>
  </cols>
  <sheetData>
    <row r="1" spans="2:22" ht="11.25" customHeight="1" thickBot="1" x14ac:dyDescent="0.3"/>
    <row r="2" spans="2:22" ht="50.1" customHeight="1" thickBot="1" x14ac:dyDescent="0.35">
      <c r="B2" s="87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9"/>
      <c r="V2" s="35"/>
    </row>
    <row r="3" spans="2:22" ht="14.1" customHeight="1" x14ac:dyDescent="0.25">
      <c r="B3" s="8" t="s">
        <v>18</v>
      </c>
      <c r="C3" s="90"/>
      <c r="D3" s="91"/>
      <c r="E3" s="91"/>
      <c r="F3" s="91"/>
      <c r="G3" s="91"/>
      <c r="H3" s="92"/>
      <c r="I3" s="93" t="s">
        <v>7</v>
      </c>
      <c r="J3" s="94"/>
      <c r="K3" s="95"/>
      <c r="L3" s="95"/>
      <c r="M3" s="95"/>
      <c r="N3" s="95"/>
      <c r="O3" s="95"/>
      <c r="P3" s="95"/>
      <c r="Q3" s="95"/>
      <c r="R3" s="9" t="s">
        <v>2</v>
      </c>
      <c r="S3" s="96"/>
      <c r="T3" s="96"/>
      <c r="U3" s="97"/>
      <c r="V3" s="36"/>
    </row>
    <row r="4" spans="2:22" ht="14.1" customHeight="1" x14ac:dyDescent="0.25">
      <c r="B4" s="10" t="s">
        <v>3</v>
      </c>
      <c r="C4" s="77" t="s">
        <v>172</v>
      </c>
      <c r="D4" s="77"/>
      <c r="E4" s="77"/>
      <c r="F4" s="75" t="s">
        <v>19</v>
      </c>
      <c r="G4" s="76"/>
      <c r="H4" s="76"/>
      <c r="I4" s="98"/>
      <c r="J4" s="77"/>
      <c r="K4" s="77"/>
      <c r="L4" s="77"/>
      <c r="M4" s="77"/>
      <c r="N4" s="77"/>
      <c r="O4" s="77"/>
      <c r="P4" s="77"/>
      <c r="Q4" s="77"/>
      <c r="R4" s="11" t="s">
        <v>9</v>
      </c>
      <c r="S4" s="72"/>
      <c r="T4" s="73"/>
      <c r="U4" s="86"/>
      <c r="V4" s="37"/>
    </row>
    <row r="5" spans="2:22" ht="14.1" customHeight="1" x14ac:dyDescent="0.25">
      <c r="B5" s="10" t="s">
        <v>4</v>
      </c>
      <c r="C5" s="72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4"/>
      <c r="R5" s="11" t="s">
        <v>14</v>
      </c>
      <c r="S5" s="85"/>
      <c r="T5" s="73"/>
      <c r="U5" s="86"/>
      <c r="V5" s="37"/>
    </row>
    <row r="6" spans="2:22" ht="14.1" customHeight="1" x14ac:dyDescent="0.25">
      <c r="B6" s="10" t="s">
        <v>5</v>
      </c>
      <c r="C6" s="72"/>
      <c r="D6" s="73"/>
      <c r="E6" s="73"/>
      <c r="F6" s="11" t="s">
        <v>6</v>
      </c>
      <c r="G6" s="77"/>
      <c r="H6" s="77"/>
      <c r="I6" s="75" t="s">
        <v>12</v>
      </c>
      <c r="J6" s="76"/>
      <c r="K6" s="72"/>
      <c r="L6" s="73"/>
      <c r="M6" s="74"/>
      <c r="N6" s="12" t="s">
        <v>10</v>
      </c>
      <c r="O6" s="72"/>
      <c r="P6" s="73"/>
      <c r="Q6" s="73"/>
      <c r="R6" s="73"/>
      <c r="S6" s="73"/>
      <c r="T6" s="73"/>
      <c r="U6" s="86"/>
      <c r="V6" s="37"/>
    </row>
    <row r="7" spans="2:22" ht="14.1" customHeight="1" x14ac:dyDescent="0.25">
      <c r="B7" s="10" t="s">
        <v>11</v>
      </c>
      <c r="C7" s="12"/>
      <c r="D7" s="72"/>
      <c r="E7" s="73"/>
      <c r="F7" s="73"/>
      <c r="G7" s="73"/>
      <c r="H7" s="74"/>
      <c r="I7" s="75" t="s">
        <v>1</v>
      </c>
      <c r="J7" s="76"/>
      <c r="K7" s="76"/>
      <c r="L7" s="77"/>
      <c r="M7" s="77"/>
      <c r="N7" s="77"/>
      <c r="O7" s="77"/>
      <c r="P7" s="77"/>
      <c r="Q7" s="77"/>
      <c r="R7" s="77"/>
      <c r="S7" s="77"/>
      <c r="T7" s="77"/>
      <c r="U7" s="78"/>
      <c r="V7" s="37"/>
    </row>
    <row r="8" spans="2:22" ht="14.1" customHeight="1" x14ac:dyDescent="0.25">
      <c r="B8" s="79" t="s">
        <v>13</v>
      </c>
      <c r="C8" s="80"/>
      <c r="D8" s="72"/>
      <c r="E8" s="73"/>
      <c r="F8" s="75" t="s">
        <v>20</v>
      </c>
      <c r="G8" s="76"/>
      <c r="H8" s="76"/>
      <c r="I8" s="81" t="s">
        <v>48</v>
      </c>
      <c r="J8" s="81"/>
      <c r="K8" s="81"/>
      <c r="L8" s="81"/>
      <c r="M8" s="81"/>
      <c r="N8" s="81"/>
      <c r="O8" s="81"/>
      <c r="P8" s="81"/>
      <c r="Q8" s="81"/>
      <c r="R8" s="11" t="s">
        <v>8</v>
      </c>
      <c r="S8" s="82"/>
      <c r="T8" s="83"/>
      <c r="U8" s="84"/>
      <c r="V8" s="38"/>
    </row>
    <row r="9" spans="2:22" ht="27.95" customHeight="1" thickBot="1" x14ac:dyDescent="0.3">
      <c r="B9" s="28" t="s">
        <v>49</v>
      </c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4"/>
      <c r="V9" s="39"/>
    </row>
    <row r="10" spans="2:22" ht="21.95" customHeight="1" thickBot="1" x14ac:dyDescent="0.3">
      <c r="B10" s="13" t="s">
        <v>15</v>
      </c>
      <c r="C10" s="14" t="s">
        <v>16</v>
      </c>
      <c r="D10" s="3" t="s">
        <v>17</v>
      </c>
      <c r="E10" s="3" t="s">
        <v>26</v>
      </c>
      <c r="F10" s="65" t="s">
        <v>25</v>
      </c>
      <c r="G10" s="66"/>
      <c r="H10" s="66"/>
      <c r="I10" s="67"/>
      <c r="J10" s="68" t="s">
        <v>27</v>
      </c>
      <c r="K10" s="69"/>
      <c r="L10" s="70"/>
      <c r="M10" s="65" t="s">
        <v>29</v>
      </c>
      <c r="N10" s="66"/>
      <c r="O10" s="66"/>
      <c r="P10" s="67"/>
      <c r="Q10" s="14" t="s">
        <v>0</v>
      </c>
      <c r="R10" s="14" t="s">
        <v>21</v>
      </c>
      <c r="S10" s="15" t="s">
        <v>50</v>
      </c>
      <c r="T10" s="65" t="s">
        <v>22</v>
      </c>
      <c r="U10" s="71"/>
      <c r="V10" s="40"/>
    </row>
    <row r="11" spans="2:22" ht="3" customHeight="1" x14ac:dyDescent="0.25">
      <c r="B11" s="16"/>
      <c r="C11" s="1"/>
      <c r="D11" s="4"/>
      <c r="E11" s="4"/>
      <c r="F11" s="52"/>
      <c r="G11" s="53"/>
      <c r="H11" s="53"/>
      <c r="I11" s="54"/>
      <c r="J11" s="52"/>
      <c r="K11" s="53"/>
      <c r="L11" s="54"/>
      <c r="M11" s="52"/>
      <c r="N11" s="53"/>
      <c r="O11" s="53"/>
      <c r="P11" s="54"/>
      <c r="Q11" s="20"/>
      <c r="R11" s="2"/>
      <c r="S11" s="21"/>
      <c r="T11" s="58"/>
      <c r="U11" s="59"/>
      <c r="V11" s="41"/>
    </row>
    <row r="12" spans="2:22" ht="50.1" customHeight="1" x14ac:dyDescent="0.25">
      <c r="B12" s="16"/>
      <c r="C12" s="1" t="s">
        <v>87</v>
      </c>
      <c r="D12" s="4" t="s">
        <v>30</v>
      </c>
      <c r="E12" s="4" t="s">
        <v>39</v>
      </c>
      <c r="F12" s="52" t="s">
        <v>43</v>
      </c>
      <c r="G12" s="53"/>
      <c r="H12" s="53"/>
      <c r="I12" s="54"/>
      <c r="J12" s="55" t="s">
        <v>36</v>
      </c>
      <c r="K12" s="56"/>
      <c r="L12" s="57"/>
      <c r="M12" s="55" t="s">
        <v>37</v>
      </c>
      <c r="N12" s="56"/>
      <c r="O12" s="56"/>
      <c r="P12" s="57"/>
      <c r="Q12" s="20">
        <v>11.96</v>
      </c>
      <c r="R12" s="27">
        <v>29.99</v>
      </c>
      <c r="S12" s="34">
        <v>1200</v>
      </c>
      <c r="T12" s="60">
        <f t="shared" ref="T12:T45" si="0">Q12*S12</f>
        <v>14352.000000000002</v>
      </c>
      <c r="U12" s="61"/>
      <c r="V12" s="41"/>
    </row>
    <row r="13" spans="2:22" ht="50.1" customHeight="1" x14ac:dyDescent="0.25">
      <c r="B13" s="16"/>
      <c r="C13" s="1" t="s">
        <v>88</v>
      </c>
      <c r="D13" s="5" t="s">
        <v>31</v>
      </c>
      <c r="E13" s="4" t="s">
        <v>39</v>
      </c>
      <c r="F13" s="52" t="s">
        <v>44</v>
      </c>
      <c r="G13" s="53"/>
      <c r="H13" s="53"/>
      <c r="I13" s="54"/>
      <c r="J13" s="55" t="s">
        <v>36</v>
      </c>
      <c r="K13" s="56"/>
      <c r="L13" s="57"/>
      <c r="M13" s="52" t="s">
        <v>37</v>
      </c>
      <c r="N13" s="53"/>
      <c r="O13" s="53"/>
      <c r="P13" s="54"/>
      <c r="Q13" s="20">
        <v>11.96</v>
      </c>
      <c r="R13" s="27">
        <v>29.99</v>
      </c>
      <c r="S13" s="34">
        <v>500</v>
      </c>
      <c r="T13" s="58">
        <f t="shared" si="0"/>
        <v>5980</v>
      </c>
      <c r="U13" s="59"/>
      <c r="V13" s="41"/>
    </row>
    <row r="14" spans="2:22" ht="50.1" customHeight="1" x14ac:dyDescent="0.25">
      <c r="B14" s="16"/>
      <c r="C14" s="1" t="s">
        <v>89</v>
      </c>
      <c r="D14" s="5" t="s">
        <v>23</v>
      </c>
      <c r="E14" s="4" t="s">
        <v>39</v>
      </c>
      <c r="F14" s="52" t="s">
        <v>45</v>
      </c>
      <c r="G14" s="53"/>
      <c r="H14" s="53"/>
      <c r="I14" s="54"/>
      <c r="J14" s="55" t="s">
        <v>36</v>
      </c>
      <c r="K14" s="56"/>
      <c r="L14" s="57"/>
      <c r="M14" s="52" t="s">
        <v>37</v>
      </c>
      <c r="N14" s="53"/>
      <c r="O14" s="53"/>
      <c r="P14" s="54"/>
      <c r="Q14" s="20">
        <v>11.96</v>
      </c>
      <c r="R14" s="27">
        <v>29.99</v>
      </c>
      <c r="S14" s="34">
        <v>1200</v>
      </c>
      <c r="T14" s="58">
        <f t="shared" si="0"/>
        <v>14352.000000000002</v>
      </c>
      <c r="U14" s="59"/>
      <c r="V14" s="41"/>
    </row>
    <row r="15" spans="2:22" ht="3" customHeight="1" x14ac:dyDescent="0.25">
      <c r="B15" s="16"/>
      <c r="C15" s="1"/>
      <c r="D15" s="4"/>
      <c r="E15" s="4"/>
      <c r="F15" s="52"/>
      <c r="G15" s="53"/>
      <c r="H15" s="53"/>
      <c r="I15" s="54"/>
      <c r="J15" s="52"/>
      <c r="K15" s="53"/>
      <c r="L15" s="54"/>
      <c r="M15" s="52"/>
      <c r="N15" s="53"/>
      <c r="O15" s="53"/>
      <c r="P15" s="54"/>
      <c r="Q15" s="20"/>
      <c r="R15" s="2"/>
      <c r="S15" s="21"/>
      <c r="T15" s="58"/>
      <c r="U15" s="59"/>
      <c r="V15" s="41"/>
    </row>
    <row r="16" spans="2:22" ht="50.1" customHeight="1" x14ac:dyDescent="0.25">
      <c r="B16" s="16"/>
      <c r="C16" s="1" t="s">
        <v>90</v>
      </c>
      <c r="D16" s="4" t="s">
        <v>30</v>
      </c>
      <c r="E16" s="4" t="s">
        <v>39</v>
      </c>
      <c r="F16" s="52" t="s">
        <v>43</v>
      </c>
      <c r="G16" s="53"/>
      <c r="H16" s="53"/>
      <c r="I16" s="54"/>
      <c r="J16" s="55" t="s">
        <v>28</v>
      </c>
      <c r="K16" s="56"/>
      <c r="L16" s="57"/>
      <c r="M16" s="52" t="s">
        <v>37</v>
      </c>
      <c r="N16" s="53"/>
      <c r="O16" s="53"/>
      <c r="P16" s="54"/>
      <c r="Q16" s="20">
        <v>11.96</v>
      </c>
      <c r="R16" s="27">
        <v>29.99</v>
      </c>
      <c r="S16" s="34">
        <v>1400</v>
      </c>
      <c r="T16" s="58">
        <f t="shared" si="0"/>
        <v>16744</v>
      </c>
      <c r="U16" s="59"/>
      <c r="V16" s="41"/>
    </row>
    <row r="17" spans="2:22" ht="50.1" customHeight="1" x14ac:dyDescent="0.25">
      <c r="B17" s="16"/>
      <c r="C17" s="1" t="s">
        <v>91</v>
      </c>
      <c r="D17" s="5" t="s">
        <v>31</v>
      </c>
      <c r="E17" s="4" t="s">
        <v>39</v>
      </c>
      <c r="F17" s="52" t="s">
        <v>44</v>
      </c>
      <c r="G17" s="53"/>
      <c r="H17" s="53"/>
      <c r="I17" s="54"/>
      <c r="J17" s="55" t="s">
        <v>28</v>
      </c>
      <c r="K17" s="56"/>
      <c r="L17" s="57"/>
      <c r="M17" s="52" t="s">
        <v>37</v>
      </c>
      <c r="N17" s="53"/>
      <c r="O17" s="53"/>
      <c r="P17" s="54"/>
      <c r="Q17" s="20">
        <v>11.96</v>
      </c>
      <c r="R17" s="27">
        <v>29.99</v>
      </c>
      <c r="S17" s="34">
        <v>600</v>
      </c>
      <c r="T17" s="58">
        <f t="shared" si="0"/>
        <v>7176.0000000000009</v>
      </c>
      <c r="U17" s="59"/>
      <c r="V17" s="41"/>
    </row>
    <row r="18" spans="2:22" ht="50.1" customHeight="1" x14ac:dyDescent="0.25">
      <c r="B18" s="16"/>
      <c r="C18" s="1" t="s">
        <v>92</v>
      </c>
      <c r="D18" s="5" t="s">
        <v>23</v>
      </c>
      <c r="E18" s="4" t="s">
        <v>39</v>
      </c>
      <c r="F18" s="52" t="s">
        <v>45</v>
      </c>
      <c r="G18" s="53"/>
      <c r="H18" s="53"/>
      <c r="I18" s="54"/>
      <c r="J18" s="55" t="s">
        <v>28</v>
      </c>
      <c r="K18" s="56"/>
      <c r="L18" s="57"/>
      <c r="M18" s="52" t="s">
        <v>37</v>
      </c>
      <c r="N18" s="53"/>
      <c r="O18" s="53"/>
      <c r="P18" s="54"/>
      <c r="Q18" s="20">
        <v>11.96</v>
      </c>
      <c r="R18" s="27">
        <v>29.99</v>
      </c>
      <c r="S18" s="34">
        <v>1600</v>
      </c>
      <c r="T18" s="60">
        <f t="shared" si="0"/>
        <v>19136</v>
      </c>
      <c r="U18" s="61"/>
      <c r="V18" s="41"/>
    </row>
    <row r="19" spans="2:22" ht="3" customHeight="1" x14ac:dyDescent="0.25">
      <c r="B19" s="16"/>
      <c r="C19" s="1"/>
      <c r="D19" s="4"/>
      <c r="E19" s="4"/>
      <c r="F19" s="52"/>
      <c r="G19" s="53"/>
      <c r="H19" s="53"/>
      <c r="I19" s="54"/>
      <c r="J19" s="52"/>
      <c r="K19" s="53"/>
      <c r="L19" s="54"/>
      <c r="M19" s="52"/>
      <c r="N19" s="53"/>
      <c r="O19" s="53"/>
      <c r="P19" s="54"/>
      <c r="Q19" s="20"/>
      <c r="R19" s="2"/>
      <c r="S19" s="21"/>
      <c r="T19" s="58"/>
      <c r="U19" s="59"/>
      <c r="V19" s="41"/>
    </row>
    <row r="20" spans="2:22" s="33" customFormat="1" ht="50.1" customHeight="1" x14ac:dyDescent="0.25">
      <c r="B20" s="16"/>
      <c r="C20" s="1" t="s">
        <v>93</v>
      </c>
      <c r="D20" s="5" t="s">
        <v>30</v>
      </c>
      <c r="E20" s="4" t="s">
        <v>40</v>
      </c>
      <c r="F20" s="52" t="s">
        <v>43</v>
      </c>
      <c r="G20" s="53"/>
      <c r="H20" s="53"/>
      <c r="I20" s="54"/>
      <c r="J20" s="55" t="s">
        <v>36</v>
      </c>
      <c r="K20" s="56"/>
      <c r="L20" s="57"/>
      <c r="M20" s="52" t="s">
        <v>37</v>
      </c>
      <c r="N20" s="53"/>
      <c r="O20" s="53"/>
      <c r="P20" s="54"/>
      <c r="Q20" s="20">
        <v>14.94</v>
      </c>
      <c r="R20" s="26">
        <v>34.99</v>
      </c>
      <c r="S20" s="34">
        <v>300</v>
      </c>
      <c r="T20" s="58">
        <f t="shared" si="0"/>
        <v>4482</v>
      </c>
      <c r="U20" s="59"/>
      <c r="V20" s="41"/>
    </row>
    <row r="21" spans="2:22" s="33" customFormat="1" ht="50.1" customHeight="1" x14ac:dyDescent="0.25">
      <c r="B21" s="16"/>
      <c r="C21" s="1" t="s">
        <v>94</v>
      </c>
      <c r="D21" s="4" t="s">
        <v>31</v>
      </c>
      <c r="E21" s="4" t="s">
        <v>40</v>
      </c>
      <c r="F21" s="52" t="s">
        <v>44</v>
      </c>
      <c r="G21" s="53"/>
      <c r="H21" s="53"/>
      <c r="I21" s="54"/>
      <c r="J21" s="55" t="s">
        <v>36</v>
      </c>
      <c r="K21" s="56"/>
      <c r="L21" s="57"/>
      <c r="M21" s="52" t="s">
        <v>37</v>
      </c>
      <c r="N21" s="53"/>
      <c r="O21" s="53"/>
      <c r="P21" s="54"/>
      <c r="Q21" s="20">
        <v>14.94</v>
      </c>
      <c r="R21" s="26">
        <v>34.99</v>
      </c>
      <c r="S21" s="34">
        <v>120</v>
      </c>
      <c r="T21" s="31">
        <f t="shared" si="0"/>
        <v>1792.8</v>
      </c>
      <c r="U21" s="32"/>
      <c r="V21" s="41"/>
    </row>
    <row r="22" spans="2:22" s="33" customFormat="1" ht="50.1" customHeight="1" x14ac:dyDescent="0.25">
      <c r="B22" s="16"/>
      <c r="C22" s="1" t="s">
        <v>95</v>
      </c>
      <c r="D22" s="4" t="s">
        <v>23</v>
      </c>
      <c r="E22" s="4" t="s">
        <v>40</v>
      </c>
      <c r="F22" s="52" t="s">
        <v>45</v>
      </c>
      <c r="G22" s="53"/>
      <c r="H22" s="53"/>
      <c r="I22" s="54"/>
      <c r="J22" s="55" t="s">
        <v>36</v>
      </c>
      <c r="K22" s="56"/>
      <c r="L22" s="57"/>
      <c r="M22" s="52" t="s">
        <v>37</v>
      </c>
      <c r="N22" s="53"/>
      <c r="O22" s="53"/>
      <c r="P22" s="54"/>
      <c r="Q22" s="20">
        <v>14.94</v>
      </c>
      <c r="R22" s="26">
        <v>34.99</v>
      </c>
      <c r="S22" s="34">
        <v>300</v>
      </c>
      <c r="T22" s="31">
        <f t="shared" si="0"/>
        <v>4482</v>
      </c>
      <c r="U22" s="32"/>
      <c r="V22" s="41"/>
    </row>
    <row r="23" spans="2:22" s="33" customFormat="1" ht="50.1" customHeight="1" x14ac:dyDescent="0.25">
      <c r="B23" s="16"/>
      <c r="C23" s="1" t="s">
        <v>96</v>
      </c>
      <c r="D23" s="5" t="s">
        <v>30</v>
      </c>
      <c r="E23" s="4" t="s">
        <v>40</v>
      </c>
      <c r="F23" s="52" t="s">
        <v>43</v>
      </c>
      <c r="G23" s="53"/>
      <c r="H23" s="53"/>
      <c r="I23" s="54"/>
      <c r="J23" s="55" t="s">
        <v>28</v>
      </c>
      <c r="K23" s="56"/>
      <c r="L23" s="57"/>
      <c r="M23" s="52" t="s">
        <v>37</v>
      </c>
      <c r="N23" s="53"/>
      <c r="O23" s="53"/>
      <c r="P23" s="54"/>
      <c r="Q23" s="20">
        <v>14.94</v>
      </c>
      <c r="R23" s="26">
        <v>34.99</v>
      </c>
      <c r="S23" s="34">
        <v>300</v>
      </c>
      <c r="T23" s="58">
        <f t="shared" si="0"/>
        <v>4482</v>
      </c>
      <c r="U23" s="59"/>
      <c r="V23" s="41"/>
    </row>
    <row r="24" spans="2:22" s="33" customFormat="1" ht="50.1" customHeight="1" x14ac:dyDescent="0.25">
      <c r="B24" s="16"/>
      <c r="C24" s="1" t="s">
        <v>97</v>
      </c>
      <c r="D24" s="4" t="s">
        <v>31</v>
      </c>
      <c r="E24" s="4" t="s">
        <v>40</v>
      </c>
      <c r="F24" s="52" t="s">
        <v>44</v>
      </c>
      <c r="G24" s="53"/>
      <c r="H24" s="53"/>
      <c r="I24" s="54"/>
      <c r="J24" s="55" t="s">
        <v>28</v>
      </c>
      <c r="K24" s="56"/>
      <c r="L24" s="57"/>
      <c r="M24" s="52" t="s">
        <v>37</v>
      </c>
      <c r="N24" s="53"/>
      <c r="O24" s="53"/>
      <c r="P24" s="54"/>
      <c r="Q24" s="20">
        <v>14.94</v>
      </c>
      <c r="R24" s="26">
        <v>34.99</v>
      </c>
      <c r="S24" s="34">
        <v>120</v>
      </c>
      <c r="T24" s="31">
        <f t="shared" si="0"/>
        <v>1792.8</v>
      </c>
      <c r="U24" s="32"/>
      <c r="V24" s="41"/>
    </row>
    <row r="25" spans="2:22" s="33" customFormat="1" ht="50.1" customHeight="1" x14ac:dyDescent="0.25">
      <c r="B25" s="16"/>
      <c r="C25" s="1" t="s">
        <v>98</v>
      </c>
      <c r="D25" s="4" t="s">
        <v>23</v>
      </c>
      <c r="E25" s="4" t="s">
        <v>40</v>
      </c>
      <c r="F25" s="52" t="s">
        <v>45</v>
      </c>
      <c r="G25" s="53"/>
      <c r="H25" s="53"/>
      <c r="I25" s="54"/>
      <c r="J25" s="55" t="s">
        <v>28</v>
      </c>
      <c r="K25" s="56"/>
      <c r="L25" s="57"/>
      <c r="M25" s="52" t="s">
        <v>37</v>
      </c>
      <c r="N25" s="53"/>
      <c r="O25" s="53"/>
      <c r="P25" s="54"/>
      <c r="Q25" s="20">
        <v>14.94</v>
      </c>
      <c r="R25" s="26">
        <v>34.99</v>
      </c>
      <c r="S25" s="34">
        <v>300</v>
      </c>
      <c r="T25" s="58">
        <f t="shared" si="0"/>
        <v>4482</v>
      </c>
      <c r="U25" s="59"/>
      <c r="V25" s="41"/>
    </row>
    <row r="26" spans="2:22" ht="50.1" customHeight="1" x14ac:dyDescent="0.25">
      <c r="B26" s="16"/>
      <c r="C26" s="1" t="s">
        <v>99</v>
      </c>
      <c r="D26" s="4" t="s">
        <v>30</v>
      </c>
      <c r="E26" s="4" t="s">
        <v>41</v>
      </c>
      <c r="F26" s="52" t="s">
        <v>43</v>
      </c>
      <c r="G26" s="53"/>
      <c r="H26" s="53"/>
      <c r="I26" s="54"/>
      <c r="J26" s="55" t="s">
        <v>36</v>
      </c>
      <c r="K26" s="56"/>
      <c r="L26" s="57"/>
      <c r="M26" s="52" t="s">
        <v>37</v>
      </c>
      <c r="N26" s="53"/>
      <c r="O26" s="53"/>
      <c r="P26" s="54"/>
      <c r="Q26" s="29">
        <v>16.95</v>
      </c>
      <c r="R26" s="25">
        <v>39.99</v>
      </c>
      <c r="S26" s="34">
        <v>300</v>
      </c>
      <c r="T26" s="58">
        <f t="shared" si="0"/>
        <v>5085</v>
      </c>
      <c r="U26" s="59"/>
      <c r="V26" s="41"/>
    </row>
    <row r="27" spans="2:22" ht="50.1" customHeight="1" x14ac:dyDescent="0.25">
      <c r="B27" s="16"/>
      <c r="C27" s="1" t="s">
        <v>100</v>
      </c>
      <c r="D27" s="5" t="s">
        <v>31</v>
      </c>
      <c r="E27" s="4" t="s">
        <v>41</v>
      </c>
      <c r="F27" s="52" t="s">
        <v>44</v>
      </c>
      <c r="G27" s="53"/>
      <c r="H27" s="53"/>
      <c r="I27" s="54"/>
      <c r="J27" s="55" t="s">
        <v>36</v>
      </c>
      <c r="K27" s="56"/>
      <c r="L27" s="57"/>
      <c r="M27" s="52" t="s">
        <v>37</v>
      </c>
      <c r="N27" s="53"/>
      <c r="O27" s="53"/>
      <c r="P27" s="54"/>
      <c r="Q27" s="29">
        <v>16.95</v>
      </c>
      <c r="R27" s="25">
        <v>39.99</v>
      </c>
      <c r="S27" s="34">
        <v>200</v>
      </c>
      <c r="T27" s="58">
        <f t="shared" si="0"/>
        <v>3390</v>
      </c>
      <c r="U27" s="59"/>
      <c r="V27" s="41"/>
    </row>
    <row r="28" spans="2:22" ht="50.1" customHeight="1" x14ac:dyDescent="0.25">
      <c r="B28" s="16"/>
      <c r="C28" s="1" t="s">
        <v>101</v>
      </c>
      <c r="D28" s="5" t="s">
        <v>23</v>
      </c>
      <c r="E28" s="4" t="s">
        <v>41</v>
      </c>
      <c r="F28" s="52" t="s">
        <v>45</v>
      </c>
      <c r="G28" s="53"/>
      <c r="H28" s="53"/>
      <c r="I28" s="54"/>
      <c r="J28" s="55" t="s">
        <v>36</v>
      </c>
      <c r="K28" s="56"/>
      <c r="L28" s="57"/>
      <c r="M28" s="52" t="s">
        <v>37</v>
      </c>
      <c r="N28" s="53"/>
      <c r="O28" s="53"/>
      <c r="P28" s="54"/>
      <c r="Q28" s="29">
        <v>16.95</v>
      </c>
      <c r="R28" s="25">
        <v>39.99</v>
      </c>
      <c r="S28" s="34">
        <v>300</v>
      </c>
      <c r="T28" s="58">
        <f t="shared" si="0"/>
        <v>5085</v>
      </c>
      <c r="U28" s="59"/>
      <c r="V28" s="41"/>
    </row>
    <row r="29" spans="2:22" ht="50.1" customHeight="1" x14ac:dyDescent="0.25">
      <c r="B29" s="16"/>
      <c r="C29" s="1" t="s">
        <v>102</v>
      </c>
      <c r="D29" s="4" t="s">
        <v>30</v>
      </c>
      <c r="E29" s="4" t="s">
        <v>41</v>
      </c>
      <c r="F29" s="52" t="s">
        <v>43</v>
      </c>
      <c r="G29" s="53"/>
      <c r="H29" s="53"/>
      <c r="I29" s="54"/>
      <c r="J29" s="55" t="s">
        <v>28</v>
      </c>
      <c r="K29" s="56"/>
      <c r="L29" s="57"/>
      <c r="M29" s="52" t="s">
        <v>37</v>
      </c>
      <c r="N29" s="53"/>
      <c r="O29" s="53"/>
      <c r="P29" s="54"/>
      <c r="Q29" s="29">
        <v>16.95</v>
      </c>
      <c r="R29" s="25">
        <v>39.99</v>
      </c>
      <c r="S29" s="34">
        <v>300</v>
      </c>
      <c r="T29" s="58">
        <f t="shared" si="0"/>
        <v>5085</v>
      </c>
      <c r="U29" s="59"/>
      <c r="V29" s="41"/>
    </row>
    <row r="30" spans="2:22" ht="50.1" customHeight="1" x14ac:dyDescent="0.25">
      <c r="B30" s="16"/>
      <c r="C30" s="1" t="s">
        <v>103</v>
      </c>
      <c r="D30" s="5" t="s">
        <v>31</v>
      </c>
      <c r="E30" s="4" t="s">
        <v>41</v>
      </c>
      <c r="F30" s="52" t="s">
        <v>44</v>
      </c>
      <c r="G30" s="53"/>
      <c r="H30" s="53"/>
      <c r="I30" s="54"/>
      <c r="J30" s="55" t="s">
        <v>28</v>
      </c>
      <c r="K30" s="56"/>
      <c r="L30" s="57"/>
      <c r="M30" s="52" t="s">
        <v>37</v>
      </c>
      <c r="N30" s="53"/>
      <c r="O30" s="53"/>
      <c r="P30" s="54"/>
      <c r="Q30" s="29">
        <v>16.95</v>
      </c>
      <c r="R30" s="25">
        <v>39.99</v>
      </c>
      <c r="S30" s="34">
        <v>120</v>
      </c>
      <c r="T30" s="58">
        <f t="shared" si="0"/>
        <v>2034</v>
      </c>
      <c r="U30" s="59"/>
      <c r="V30" s="41"/>
    </row>
    <row r="31" spans="2:22" ht="50.1" customHeight="1" x14ac:dyDescent="0.25">
      <c r="B31" s="16"/>
      <c r="C31" s="1" t="s">
        <v>104</v>
      </c>
      <c r="D31" s="5" t="s">
        <v>23</v>
      </c>
      <c r="E31" s="4" t="s">
        <v>41</v>
      </c>
      <c r="F31" s="52" t="s">
        <v>45</v>
      </c>
      <c r="G31" s="53"/>
      <c r="H31" s="53"/>
      <c r="I31" s="54"/>
      <c r="J31" s="55" t="s">
        <v>28</v>
      </c>
      <c r="K31" s="56"/>
      <c r="L31" s="57"/>
      <c r="M31" s="52" t="s">
        <v>37</v>
      </c>
      <c r="N31" s="53"/>
      <c r="O31" s="53"/>
      <c r="P31" s="54"/>
      <c r="Q31" s="29">
        <v>16.95</v>
      </c>
      <c r="R31" s="25">
        <v>39.99</v>
      </c>
      <c r="S31" s="34">
        <v>300</v>
      </c>
      <c r="T31" s="58">
        <f t="shared" si="0"/>
        <v>5085</v>
      </c>
      <c r="U31" s="59"/>
      <c r="V31" s="41"/>
    </row>
    <row r="32" spans="2:22" s="33" customFormat="1" ht="50.1" customHeight="1" x14ac:dyDescent="0.25">
      <c r="B32" s="16"/>
      <c r="C32" s="1" t="s">
        <v>105</v>
      </c>
      <c r="D32" s="5" t="s">
        <v>30</v>
      </c>
      <c r="E32" s="4" t="s">
        <v>42</v>
      </c>
      <c r="F32" s="52" t="s">
        <v>43</v>
      </c>
      <c r="G32" s="53"/>
      <c r="H32" s="53"/>
      <c r="I32" s="54"/>
      <c r="J32" s="55" t="s">
        <v>36</v>
      </c>
      <c r="K32" s="56"/>
      <c r="L32" s="57"/>
      <c r="M32" s="52" t="s">
        <v>38</v>
      </c>
      <c r="N32" s="53"/>
      <c r="O32" s="53"/>
      <c r="P32" s="54"/>
      <c r="Q32" s="29">
        <v>19.52</v>
      </c>
      <c r="R32" s="25">
        <v>49.99</v>
      </c>
      <c r="S32" s="34">
        <v>200</v>
      </c>
      <c r="T32" s="58">
        <f t="shared" si="0"/>
        <v>3904</v>
      </c>
      <c r="U32" s="59"/>
      <c r="V32" s="41"/>
    </row>
    <row r="33" spans="2:22" s="33" customFormat="1" ht="50.1" customHeight="1" x14ac:dyDescent="0.25">
      <c r="B33" s="16"/>
      <c r="C33" s="1" t="s">
        <v>106</v>
      </c>
      <c r="D33" s="5" t="s">
        <v>32</v>
      </c>
      <c r="E33" s="4" t="s">
        <v>42</v>
      </c>
      <c r="F33" s="52" t="s">
        <v>107</v>
      </c>
      <c r="G33" s="53"/>
      <c r="H33" s="53"/>
      <c r="I33" s="54"/>
      <c r="J33" s="55" t="s">
        <v>36</v>
      </c>
      <c r="K33" s="56"/>
      <c r="L33" s="57"/>
      <c r="M33" s="52" t="s">
        <v>38</v>
      </c>
      <c r="N33" s="53"/>
      <c r="O33" s="53"/>
      <c r="P33" s="54"/>
      <c r="Q33" s="29">
        <v>19.52</v>
      </c>
      <c r="R33" s="25">
        <v>49.99</v>
      </c>
      <c r="S33" s="34">
        <v>120</v>
      </c>
      <c r="T33" s="58">
        <f t="shared" si="0"/>
        <v>2342.4</v>
      </c>
      <c r="U33" s="59"/>
      <c r="V33" s="41"/>
    </row>
    <row r="34" spans="2:22" s="33" customFormat="1" ht="50.1" customHeight="1" x14ac:dyDescent="0.25">
      <c r="B34" s="22"/>
      <c r="C34" s="1" t="s">
        <v>108</v>
      </c>
      <c r="D34" s="5" t="s">
        <v>23</v>
      </c>
      <c r="E34" s="4" t="s">
        <v>42</v>
      </c>
      <c r="F34" s="52" t="s">
        <v>45</v>
      </c>
      <c r="G34" s="53"/>
      <c r="H34" s="53"/>
      <c r="I34" s="54"/>
      <c r="J34" s="55" t="s">
        <v>36</v>
      </c>
      <c r="K34" s="56"/>
      <c r="L34" s="57"/>
      <c r="M34" s="52" t="s">
        <v>38</v>
      </c>
      <c r="N34" s="53"/>
      <c r="O34" s="53"/>
      <c r="P34" s="54"/>
      <c r="Q34" s="29">
        <v>19.52</v>
      </c>
      <c r="R34" s="25">
        <v>49.99</v>
      </c>
      <c r="S34" s="34">
        <v>300</v>
      </c>
      <c r="T34" s="58">
        <f t="shared" si="0"/>
        <v>5856</v>
      </c>
      <c r="U34" s="59"/>
      <c r="V34" s="41"/>
    </row>
    <row r="35" spans="2:22" s="33" customFormat="1" ht="50.1" customHeight="1" x14ac:dyDescent="0.25">
      <c r="B35" s="16"/>
      <c r="C35" s="1" t="s">
        <v>109</v>
      </c>
      <c r="D35" s="5" t="s">
        <v>33</v>
      </c>
      <c r="E35" s="4" t="s">
        <v>42</v>
      </c>
      <c r="F35" s="52" t="s">
        <v>46</v>
      </c>
      <c r="G35" s="53"/>
      <c r="H35" s="53"/>
      <c r="I35" s="54"/>
      <c r="J35" s="55" t="s">
        <v>36</v>
      </c>
      <c r="K35" s="56"/>
      <c r="L35" s="57"/>
      <c r="M35" s="52" t="s">
        <v>38</v>
      </c>
      <c r="N35" s="53"/>
      <c r="O35" s="53"/>
      <c r="P35" s="54"/>
      <c r="Q35" s="29">
        <v>19.52</v>
      </c>
      <c r="R35" s="25">
        <v>49.99</v>
      </c>
      <c r="S35" s="34">
        <v>100</v>
      </c>
      <c r="T35" s="58">
        <f t="shared" si="0"/>
        <v>1952</v>
      </c>
      <c r="U35" s="59"/>
      <c r="V35" s="41"/>
    </row>
    <row r="36" spans="2:22" s="33" customFormat="1" ht="50.1" customHeight="1" x14ac:dyDescent="0.25">
      <c r="B36" s="16"/>
      <c r="C36" s="1" t="s">
        <v>110</v>
      </c>
      <c r="D36" s="5" t="s">
        <v>34</v>
      </c>
      <c r="E36" s="4" t="s">
        <v>42</v>
      </c>
      <c r="F36" s="52" t="s">
        <v>47</v>
      </c>
      <c r="G36" s="53"/>
      <c r="H36" s="53"/>
      <c r="I36" s="54"/>
      <c r="J36" s="55" t="s">
        <v>36</v>
      </c>
      <c r="K36" s="56"/>
      <c r="L36" s="57"/>
      <c r="M36" s="52" t="s">
        <v>38</v>
      </c>
      <c r="N36" s="53"/>
      <c r="O36" s="53"/>
      <c r="P36" s="54"/>
      <c r="Q36" s="29">
        <v>19.52</v>
      </c>
      <c r="R36" s="25">
        <v>49.99</v>
      </c>
      <c r="S36" s="34">
        <v>100</v>
      </c>
      <c r="T36" s="58">
        <f t="shared" si="0"/>
        <v>1952</v>
      </c>
      <c r="U36" s="59"/>
      <c r="V36" s="41"/>
    </row>
    <row r="37" spans="2:22" ht="50.1" customHeight="1" x14ac:dyDescent="0.25">
      <c r="B37" s="16"/>
      <c r="C37" s="1" t="s">
        <v>111</v>
      </c>
      <c r="D37" s="5" t="s">
        <v>30</v>
      </c>
      <c r="E37" s="4" t="s">
        <v>42</v>
      </c>
      <c r="F37" s="52" t="s">
        <v>43</v>
      </c>
      <c r="G37" s="53"/>
      <c r="H37" s="53"/>
      <c r="I37" s="54"/>
      <c r="J37" s="55" t="s">
        <v>28</v>
      </c>
      <c r="K37" s="56"/>
      <c r="L37" s="57"/>
      <c r="M37" s="52" t="s">
        <v>38</v>
      </c>
      <c r="N37" s="53"/>
      <c r="O37" s="53"/>
      <c r="P37" s="54"/>
      <c r="Q37" s="29">
        <v>19.52</v>
      </c>
      <c r="R37" s="25">
        <v>49.99</v>
      </c>
      <c r="S37" s="34">
        <v>200</v>
      </c>
      <c r="T37" s="58">
        <f t="shared" si="0"/>
        <v>3904</v>
      </c>
      <c r="U37" s="59"/>
      <c r="V37" s="41"/>
    </row>
    <row r="38" spans="2:22" ht="50.1" customHeight="1" x14ac:dyDescent="0.25">
      <c r="B38" s="16"/>
      <c r="C38" s="1" t="s">
        <v>112</v>
      </c>
      <c r="D38" s="5" t="s">
        <v>32</v>
      </c>
      <c r="E38" s="4" t="s">
        <v>42</v>
      </c>
      <c r="F38" s="52" t="s">
        <v>107</v>
      </c>
      <c r="G38" s="53"/>
      <c r="H38" s="53"/>
      <c r="I38" s="54"/>
      <c r="J38" s="55" t="s">
        <v>28</v>
      </c>
      <c r="K38" s="56"/>
      <c r="L38" s="57"/>
      <c r="M38" s="52" t="s">
        <v>38</v>
      </c>
      <c r="N38" s="53"/>
      <c r="O38" s="53"/>
      <c r="P38" s="54"/>
      <c r="Q38" s="29">
        <v>19.52</v>
      </c>
      <c r="R38" s="25">
        <v>49.99</v>
      </c>
      <c r="S38" s="34">
        <v>120</v>
      </c>
      <c r="T38" s="58">
        <f t="shared" si="0"/>
        <v>2342.4</v>
      </c>
      <c r="U38" s="59"/>
      <c r="V38" s="41"/>
    </row>
    <row r="39" spans="2:22" ht="50.1" customHeight="1" x14ac:dyDescent="0.25">
      <c r="B39" s="16"/>
      <c r="C39" s="1" t="s">
        <v>113</v>
      </c>
      <c r="D39" s="5" t="s">
        <v>23</v>
      </c>
      <c r="E39" s="4" t="s">
        <v>42</v>
      </c>
      <c r="F39" s="52" t="s">
        <v>45</v>
      </c>
      <c r="G39" s="53"/>
      <c r="H39" s="53"/>
      <c r="I39" s="54"/>
      <c r="J39" s="55" t="s">
        <v>28</v>
      </c>
      <c r="K39" s="56"/>
      <c r="L39" s="57"/>
      <c r="M39" s="52" t="s">
        <v>38</v>
      </c>
      <c r="N39" s="53"/>
      <c r="O39" s="53"/>
      <c r="P39" s="54"/>
      <c r="Q39" s="29">
        <v>19.52</v>
      </c>
      <c r="R39" s="25">
        <v>49.99</v>
      </c>
      <c r="S39" s="34">
        <v>240</v>
      </c>
      <c r="T39" s="58">
        <f t="shared" si="0"/>
        <v>4684.8</v>
      </c>
      <c r="U39" s="59"/>
      <c r="V39" s="41"/>
    </row>
    <row r="40" spans="2:22" ht="50.1" customHeight="1" x14ac:dyDescent="0.25">
      <c r="B40" s="16"/>
      <c r="C40" s="1" t="s">
        <v>114</v>
      </c>
      <c r="D40" s="5" t="s">
        <v>33</v>
      </c>
      <c r="E40" s="4" t="s">
        <v>42</v>
      </c>
      <c r="F40" s="52" t="s">
        <v>46</v>
      </c>
      <c r="G40" s="53"/>
      <c r="H40" s="53"/>
      <c r="I40" s="54"/>
      <c r="J40" s="55" t="s">
        <v>28</v>
      </c>
      <c r="K40" s="56"/>
      <c r="L40" s="57"/>
      <c r="M40" s="52" t="s">
        <v>38</v>
      </c>
      <c r="N40" s="53"/>
      <c r="O40" s="53"/>
      <c r="P40" s="54"/>
      <c r="Q40" s="29">
        <v>19.52</v>
      </c>
      <c r="R40" s="25">
        <v>49.99</v>
      </c>
      <c r="S40" s="34">
        <v>100</v>
      </c>
      <c r="T40" s="58">
        <f t="shared" si="0"/>
        <v>1952</v>
      </c>
      <c r="U40" s="59"/>
      <c r="V40" s="41"/>
    </row>
    <row r="41" spans="2:22" ht="50.1" customHeight="1" x14ac:dyDescent="0.25">
      <c r="B41" s="16"/>
      <c r="C41" s="1" t="s">
        <v>115</v>
      </c>
      <c r="D41" s="5" t="s">
        <v>34</v>
      </c>
      <c r="E41" s="4" t="s">
        <v>42</v>
      </c>
      <c r="F41" s="52" t="s">
        <v>47</v>
      </c>
      <c r="G41" s="53"/>
      <c r="H41" s="53"/>
      <c r="I41" s="54"/>
      <c r="J41" s="55" t="s">
        <v>28</v>
      </c>
      <c r="K41" s="56"/>
      <c r="L41" s="57"/>
      <c r="M41" s="52" t="s">
        <v>38</v>
      </c>
      <c r="N41" s="53"/>
      <c r="O41" s="53"/>
      <c r="P41" s="54"/>
      <c r="Q41" s="29">
        <v>19.52</v>
      </c>
      <c r="R41" s="25">
        <v>49.99</v>
      </c>
      <c r="S41" s="34">
        <v>100</v>
      </c>
      <c r="T41" s="58">
        <f t="shared" si="0"/>
        <v>1952</v>
      </c>
      <c r="U41" s="59"/>
      <c r="V41" s="41"/>
    </row>
    <row r="42" spans="2:22" ht="50.1" customHeight="1" x14ac:dyDescent="0.25">
      <c r="B42" s="22"/>
      <c r="C42" s="24" t="s">
        <v>116</v>
      </c>
      <c r="D42" s="5" t="s">
        <v>35</v>
      </c>
      <c r="E42" s="5" t="s">
        <v>51</v>
      </c>
      <c r="F42" s="52" t="s">
        <v>84</v>
      </c>
      <c r="G42" s="53"/>
      <c r="H42" s="53"/>
      <c r="I42" s="54"/>
      <c r="J42" s="55" t="s">
        <v>36</v>
      </c>
      <c r="K42" s="56"/>
      <c r="L42" s="57"/>
      <c r="M42" s="52" t="s">
        <v>37</v>
      </c>
      <c r="N42" s="53"/>
      <c r="O42" s="53"/>
      <c r="P42" s="54"/>
      <c r="Q42" s="23">
        <v>15.32</v>
      </c>
      <c r="R42" s="25">
        <v>39.99</v>
      </c>
      <c r="S42" s="34">
        <v>600</v>
      </c>
      <c r="T42" s="58">
        <f t="shared" si="0"/>
        <v>9192</v>
      </c>
      <c r="U42" s="59"/>
      <c r="V42" s="41"/>
    </row>
    <row r="43" spans="2:22" ht="50.1" customHeight="1" x14ac:dyDescent="0.25">
      <c r="B43" s="16"/>
      <c r="C43" s="24" t="s">
        <v>117</v>
      </c>
      <c r="D43" s="5" t="s">
        <v>24</v>
      </c>
      <c r="E43" s="5" t="s">
        <v>51</v>
      </c>
      <c r="F43" s="52" t="s">
        <v>85</v>
      </c>
      <c r="G43" s="53"/>
      <c r="H43" s="53"/>
      <c r="I43" s="54"/>
      <c r="J43" s="55" t="s">
        <v>36</v>
      </c>
      <c r="K43" s="56"/>
      <c r="L43" s="57"/>
      <c r="M43" s="52" t="s">
        <v>37</v>
      </c>
      <c r="N43" s="53"/>
      <c r="O43" s="53"/>
      <c r="P43" s="54"/>
      <c r="Q43" s="23">
        <v>15.32</v>
      </c>
      <c r="R43" s="25">
        <v>39.99</v>
      </c>
      <c r="S43" s="34">
        <v>800</v>
      </c>
      <c r="T43" s="58">
        <f t="shared" si="0"/>
        <v>12256</v>
      </c>
      <c r="U43" s="59"/>
      <c r="V43" s="41"/>
    </row>
    <row r="44" spans="2:22" ht="50.1" customHeight="1" x14ac:dyDescent="0.25">
      <c r="B44" s="16"/>
      <c r="C44" s="24" t="s">
        <v>118</v>
      </c>
      <c r="D44" s="4" t="s">
        <v>35</v>
      </c>
      <c r="E44" s="5" t="s">
        <v>51</v>
      </c>
      <c r="F44" s="52" t="s">
        <v>84</v>
      </c>
      <c r="G44" s="53"/>
      <c r="H44" s="53"/>
      <c r="I44" s="54"/>
      <c r="J44" s="55" t="s">
        <v>28</v>
      </c>
      <c r="K44" s="56"/>
      <c r="L44" s="57"/>
      <c r="M44" s="52" t="s">
        <v>37</v>
      </c>
      <c r="N44" s="53"/>
      <c r="O44" s="53"/>
      <c r="P44" s="54"/>
      <c r="Q44" s="23">
        <v>15.32</v>
      </c>
      <c r="R44" s="25">
        <v>39.99</v>
      </c>
      <c r="S44" s="34">
        <v>600</v>
      </c>
      <c r="T44" s="58">
        <f t="shared" si="0"/>
        <v>9192</v>
      </c>
      <c r="U44" s="59"/>
      <c r="V44" s="41"/>
    </row>
    <row r="45" spans="2:22" ht="50.1" customHeight="1" x14ac:dyDescent="0.25">
      <c r="B45" s="16"/>
      <c r="C45" s="24" t="s">
        <v>119</v>
      </c>
      <c r="D45" s="5" t="s">
        <v>24</v>
      </c>
      <c r="E45" s="5" t="s">
        <v>51</v>
      </c>
      <c r="F45" s="52" t="s">
        <v>85</v>
      </c>
      <c r="G45" s="53"/>
      <c r="H45" s="53"/>
      <c r="I45" s="54"/>
      <c r="J45" s="55" t="s">
        <v>28</v>
      </c>
      <c r="K45" s="56"/>
      <c r="L45" s="57"/>
      <c r="M45" s="52" t="s">
        <v>37</v>
      </c>
      <c r="N45" s="53"/>
      <c r="O45" s="53"/>
      <c r="P45" s="54"/>
      <c r="Q45" s="23">
        <v>15.32</v>
      </c>
      <c r="R45" s="25">
        <v>39.99</v>
      </c>
      <c r="S45" s="34">
        <v>800</v>
      </c>
      <c r="T45" s="58">
        <f t="shared" si="0"/>
        <v>12256</v>
      </c>
      <c r="U45" s="59"/>
      <c r="V45" s="41"/>
    </row>
    <row r="46" spans="2:22" ht="3" customHeight="1" x14ac:dyDescent="0.25">
      <c r="B46" s="16"/>
      <c r="C46" s="1"/>
      <c r="D46" s="4"/>
      <c r="E46" s="4"/>
      <c r="F46" s="52"/>
      <c r="G46" s="53"/>
      <c r="H46" s="53"/>
      <c r="I46" s="54"/>
      <c r="J46" s="52"/>
      <c r="K46" s="53"/>
      <c r="L46" s="54"/>
      <c r="M46" s="52"/>
      <c r="N46" s="53"/>
      <c r="O46" s="53"/>
      <c r="P46" s="54"/>
      <c r="Q46" s="20"/>
      <c r="R46" s="26"/>
      <c r="S46" s="21"/>
      <c r="T46" s="58"/>
      <c r="U46" s="59"/>
      <c r="V46" s="41"/>
    </row>
    <row r="47" spans="2:22" x14ac:dyDescent="0.25">
      <c r="B47" s="43"/>
      <c r="C47" s="44"/>
      <c r="D47" s="45"/>
      <c r="E47" s="17"/>
      <c r="F47" s="46"/>
      <c r="G47" s="44"/>
      <c r="H47" s="44"/>
      <c r="I47" s="45"/>
      <c r="J47" s="46"/>
      <c r="K47" s="44"/>
      <c r="L47" s="45"/>
      <c r="M47" s="46"/>
      <c r="N47" s="44"/>
      <c r="O47" s="44"/>
      <c r="P47" s="45"/>
      <c r="Q47" s="18"/>
      <c r="R47" s="18"/>
      <c r="S47" s="30">
        <f>SUM(S12:S46)</f>
        <v>13840</v>
      </c>
      <c r="T47" s="47">
        <f>SUM(T12:U46)</f>
        <v>198755.19999999998</v>
      </c>
      <c r="U47" s="48"/>
      <c r="V47" s="42"/>
    </row>
    <row r="48" spans="2:22" ht="9" customHeight="1" thickBot="1" x14ac:dyDescent="0.3">
      <c r="B48" s="49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1"/>
    </row>
    <row r="50" spans="20:20" x14ac:dyDescent="0.25">
      <c r="T50" s="19"/>
    </row>
  </sheetData>
  <mergeCells count="176">
    <mergeCell ref="B2:U2"/>
    <mergeCell ref="C3:H3"/>
    <mergeCell ref="I3:J3"/>
    <mergeCell ref="K3:Q3"/>
    <mergeCell ref="S3:U3"/>
    <mergeCell ref="C4:E4"/>
    <mergeCell ref="F4:H4"/>
    <mergeCell ref="I4:Q4"/>
    <mergeCell ref="S4:U4"/>
    <mergeCell ref="D7:H7"/>
    <mergeCell ref="I7:K7"/>
    <mergeCell ref="L7:U7"/>
    <mergeCell ref="B8:C8"/>
    <mergeCell ref="D8:E8"/>
    <mergeCell ref="F8:H8"/>
    <mergeCell ref="I8:Q8"/>
    <mergeCell ref="S8:U8"/>
    <mergeCell ref="C5:Q5"/>
    <mergeCell ref="S5:U5"/>
    <mergeCell ref="C6:E6"/>
    <mergeCell ref="G6:H6"/>
    <mergeCell ref="I6:J6"/>
    <mergeCell ref="K6:M6"/>
    <mergeCell ref="O6:U6"/>
    <mergeCell ref="C9:U9"/>
    <mergeCell ref="F10:I10"/>
    <mergeCell ref="J10:L10"/>
    <mergeCell ref="M10:P10"/>
    <mergeCell ref="T10:U10"/>
    <mergeCell ref="F11:I11"/>
    <mergeCell ref="J11:L11"/>
    <mergeCell ref="M11:P11"/>
    <mergeCell ref="T11:U11"/>
    <mergeCell ref="F14:I14"/>
    <mergeCell ref="J14:L14"/>
    <mergeCell ref="M14:P14"/>
    <mergeCell ref="T14:U14"/>
    <mergeCell ref="F15:I15"/>
    <mergeCell ref="J15:L15"/>
    <mergeCell ref="M15:P15"/>
    <mergeCell ref="T15:U15"/>
    <mergeCell ref="F12:I12"/>
    <mergeCell ref="J12:L12"/>
    <mergeCell ref="M12:P12"/>
    <mergeCell ref="T12:U12"/>
    <mergeCell ref="F13:I13"/>
    <mergeCell ref="J13:L13"/>
    <mergeCell ref="M13:P13"/>
    <mergeCell ref="T13:U13"/>
    <mergeCell ref="F18:I18"/>
    <mergeCell ref="J18:L18"/>
    <mergeCell ref="M18:P18"/>
    <mergeCell ref="T18:U18"/>
    <mergeCell ref="F19:I19"/>
    <mergeCell ref="J19:L19"/>
    <mergeCell ref="M19:P19"/>
    <mergeCell ref="T19:U19"/>
    <mergeCell ref="F16:I16"/>
    <mergeCell ref="J16:L16"/>
    <mergeCell ref="M16:P16"/>
    <mergeCell ref="T16:U16"/>
    <mergeCell ref="F17:I17"/>
    <mergeCell ref="J17:L17"/>
    <mergeCell ref="M17:P17"/>
    <mergeCell ref="T17:U17"/>
    <mergeCell ref="F22:I22"/>
    <mergeCell ref="J22:L22"/>
    <mergeCell ref="M22:P22"/>
    <mergeCell ref="F20:I20"/>
    <mergeCell ref="J20:L20"/>
    <mergeCell ref="M20:P20"/>
    <mergeCell ref="T20:U20"/>
    <mergeCell ref="F21:I21"/>
    <mergeCell ref="J21:L21"/>
    <mergeCell ref="M21:P21"/>
    <mergeCell ref="F25:I25"/>
    <mergeCell ref="J25:L25"/>
    <mergeCell ref="M25:P25"/>
    <mergeCell ref="T25:U25"/>
    <mergeCell ref="F23:I23"/>
    <mergeCell ref="J23:L23"/>
    <mergeCell ref="M23:P23"/>
    <mergeCell ref="T23:U23"/>
    <mergeCell ref="F24:I24"/>
    <mergeCell ref="J24:L24"/>
    <mergeCell ref="M24:P24"/>
    <mergeCell ref="F28:I28"/>
    <mergeCell ref="J28:L28"/>
    <mergeCell ref="M28:P28"/>
    <mergeCell ref="T28:U28"/>
    <mergeCell ref="F26:I26"/>
    <mergeCell ref="J26:L26"/>
    <mergeCell ref="M26:P26"/>
    <mergeCell ref="T26:U26"/>
    <mergeCell ref="F27:I27"/>
    <mergeCell ref="J27:L27"/>
    <mergeCell ref="M27:P27"/>
    <mergeCell ref="T27:U27"/>
    <mergeCell ref="F31:I31"/>
    <mergeCell ref="J31:L31"/>
    <mergeCell ref="M31:P31"/>
    <mergeCell ref="T31:U31"/>
    <mergeCell ref="F29:I29"/>
    <mergeCell ref="J29:L29"/>
    <mergeCell ref="M29:P29"/>
    <mergeCell ref="T29:U29"/>
    <mergeCell ref="F30:I30"/>
    <mergeCell ref="J30:L30"/>
    <mergeCell ref="M30:P30"/>
    <mergeCell ref="T30:U30"/>
    <mergeCell ref="F34:I34"/>
    <mergeCell ref="J34:L34"/>
    <mergeCell ref="M34:P34"/>
    <mergeCell ref="T34:U34"/>
    <mergeCell ref="F35:I35"/>
    <mergeCell ref="J35:L35"/>
    <mergeCell ref="M35:P35"/>
    <mergeCell ref="T35:U35"/>
    <mergeCell ref="F32:I32"/>
    <mergeCell ref="J32:L32"/>
    <mergeCell ref="M32:P32"/>
    <mergeCell ref="T32:U32"/>
    <mergeCell ref="F33:I33"/>
    <mergeCell ref="J33:L33"/>
    <mergeCell ref="M33:P33"/>
    <mergeCell ref="T33:U33"/>
    <mergeCell ref="F37:I37"/>
    <mergeCell ref="J37:L37"/>
    <mergeCell ref="M37:P37"/>
    <mergeCell ref="T37:U37"/>
    <mergeCell ref="F38:I38"/>
    <mergeCell ref="J38:L38"/>
    <mergeCell ref="M38:P38"/>
    <mergeCell ref="T38:U38"/>
    <mergeCell ref="F36:I36"/>
    <mergeCell ref="J36:L36"/>
    <mergeCell ref="M36:P36"/>
    <mergeCell ref="T36:U36"/>
    <mergeCell ref="F41:I41"/>
    <mergeCell ref="J41:L41"/>
    <mergeCell ref="M41:P41"/>
    <mergeCell ref="T41:U41"/>
    <mergeCell ref="F39:I39"/>
    <mergeCell ref="J39:L39"/>
    <mergeCell ref="M39:P39"/>
    <mergeCell ref="T39:U39"/>
    <mergeCell ref="F40:I40"/>
    <mergeCell ref="J40:L40"/>
    <mergeCell ref="M40:P40"/>
    <mergeCell ref="T40:U40"/>
    <mergeCell ref="F44:I44"/>
    <mergeCell ref="J44:L44"/>
    <mergeCell ref="M44:P44"/>
    <mergeCell ref="T44:U44"/>
    <mergeCell ref="F42:I42"/>
    <mergeCell ref="J42:L42"/>
    <mergeCell ref="M42:P42"/>
    <mergeCell ref="T42:U42"/>
    <mergeCell ref="F43:I43"/>
    <mergeCell ref="J43:L43"/>
    <mergeCell ref="M43:P43"/>
    <mergeCell ref="T43:U43"/>
    <mergeCell ref="B47:D47"/>
    <mergeCell ref="F47:I47"/>
    <mergeCell ref="J47:L47"/>
    <mergeCell ref="M47:P47"/>
    <mergeCell ref="T47:U47"/>
    <mergeCell ref="B48:U48"/>
    <mergeCell ref="F45:I45"/>
    <mergeCell ref="J45:L45"/>
    <mergeCell ref="M45:P45"/>
    <mergeCell ref="T45:U45"/>
    <mergeCell ref="F46:I46"/>
    <mergeCell ref="J46:L46"/>
    <mergeCell ref="M46:P46"/>
    <mergeCell ref="T46:U46"/>
  </mergeCells>
  <pageMargins left="0.511811024" right="0.511811024" top="0.78740157499999996" bottom="0.78740157499999996" header="0.31496062000000002" footer="0.31496062000000002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57"/>
  <sheetViews>
    <sheetView showGridLines="0" zoomScale="80" zoomScaleNormal="80" workbookViewId="0">
      <pane xSplit="21" ySplit="10" topLeftCell="V11" activePane="bottomRight" state="frozen"/>
      <selection pane="topRight" activeCell="V1" sqref="V1"/>
      <selection pane="bottomLeft" activeCell="A11" sqref="A11"/>
      <selection pane="bottomRight" activeCell="M17" sqref="M17:P17"/>
    </sheetView>
  </sheetViews>
  <sheetFormatPr defaultColWidth="8.85546875" defaultRowHeight="15" x14ac:dyDescent="0.25"/>
  <cols>
    <col min="1" max="1" width="3" style="6" customWidth="1"/>
    <col min="2" max="2" width="13.42578125" style="6" customWidth="1"/>
    <col min="3" max="3" width="9.42578125" style="6" customWidth="1"/>
    <col min="4" max="4" width="11.42578125" style="7" customWidth="1"/>
    <col min="5" max="5" width="28.28515625" style="7" customWidth="1"/>
    <col min="6" max="16" width="6.42578125" style="6" customWidth="1"/>
    <col min="17" max="17" width="14.42578125" style="6" customWidth="1"/>
    <col min="18" max="18" width="14.140625" style="6" customWidth="1"/>
    <col min="19" max="19" width="11.7109375" style="6" customWidth="1"/>
    <col min="20" max="20" width="13.42578125" style="6" customWidth="1"/>
    <col min="21" max="22" width="3.42578125" style="6" customWidth="1"/>
    <col min="23" max="16384" width="8.85546875" style="6"/>
  </cols>
  <sheetData>
    <row r="1" spans="2:22" ht="11.25" customHeight="1" thickBot="1" x14ac:dyDescent="0.3"/>
    <row r="2" spans="2:22" ht="50.1" customHeight="1" thickBot="1" x14ac:dyDescent="0.35">
      <c r="B2" s="87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9"/>
      <c r="V2" s="35"/>
    </row>
    <row r="3" spans="2:22" ht="14.1" customHeight="1" x14ac:dyDescent="0.25">
      <c r="B3" s="8" t="s">
        <v>18</v>
      </c>
      <c r="C3" s="90" t="s">
        <v>86</v>
      </c>
      <c r="D3" s="91"/>
      <c r="E3" s="91"/>
      <c r="F3" s="91"/>
      <c r="G3" s="91"/>
      <c r="H3" s="92"/>
      <c r="I3" s="93" t="s">
        <v>7</v>
      </c>
      <c r="J3" s="94"/>
      <c r="K3" s="95"/>
      <c r="L3" s="95"/>
      <c r="M3" s="95"/>
      <c r="N3" s="95"/>
      <c r="O3" s="95"/>
      <c r="P3" s="95"/>
      <c r="Q3" s="95"/>
      <c r="R3" s="9" t="s">
        <v>2</v>
      </c>
      <c r="S3" s="96"/>
      <c r="T3" s="96"/>
      <c r="U3" s="97"/>
      <c r="V3" s="36"/>
    </row>
    <row r="4" spans="2:22" ht="14.1" customHeight="1" x14ac:dyDescent="0.25">
      <c r="B4" s="10" t="s">
        <v>3</v>
      </c>
      <c r="C4" s="77"/>
      <c r="D4" s="77"/>
      <c r="E4" s="77"/>
      <c r="F4" s="75" t="s">
        <v>19</v>
      </c>
      <c r="G4" s="76"/>
      <c r="H4" s="76"/>
      <c r="I4" s="98"/>
      <c r="J4" s="77"/>
      <c r="K4" s="77"/>
      <c r="L4" s="77"/>
      <c r="M4" s="77"/>
      <c r="N4" s="77"/>
      <c r="O4" s="77"/>
      <c r="P4" s="77"/>
      <c r="Q4" s="77"/>
      <c r="R4" s="11" t="s">
        <v>9</v>
      </c>
      <c r="S4" s="72"/>
      <c r="T4" s="73"/>
      <c r="U4" s="86"/>
      <c r="V4" s="37"/>
    </row>
    <row r="5" spans="2:22" ht="14.1" customHeight="1" x14ac:dyDescent="0.25">
      <c r="B5" s="10" t="s">
        <v>4</v>
      </c>
      <c r="C5" s="72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4"/>
      <c r="R5" s="11" t="s">
        <v>14</v>
      </c>
      <c r="S5" s="85"/>
      <c r="T5" s="73"/>
      <c r="U5" s="86"/>
      <c r="V5" s="37"/>
    </row>
    <row r="6" spans="2:22" ht="14.1" customHeight="1" x14ac:dyDescent="0.25">
      <c r="B6" s="10" t="s">
        <v>5</v>
      </c>
      <c r="C6" s="72"/>
      <c r="D6" s="73"/>
      <c r="E6" s="73"/>
      <c r="F6" s="11" t="s">
        <v>6</v>
      </c>
      <c r="G6" s="77"/>
      <c r="H6" s="77"/>
      <c r="I6" s="75" t="s">
        <v>12</v>
      </c>
      <c r="J6" s="76"/>
      <c r="K6" s="72"/>
      <c r="L6" s="73"/>
      <c r="M6" s="74"/>
      <c r="N6" s="12" t="s">
        <v>10</v>
      </c>
      <c r="O6" s="72"/>
      <c r="P6" s="73"/>
      <c r="Q6" s="73"/>
      <c r="R6" s="73"/>
      <c r="S6" s="73"/>
      <c r="T6" s="73"/>
      <c r="U6" s="86"/>
      <c r="V6" s="37"/>
    </row>
    <row r="7" spans="2:22" ht="14.1" customHeight="1" x14ac:dyDescent="0.25">
      <c r="B7" s="10" t="s">
        <v>11</v>
      </c>
      <c r="C7" s="12"/>
      <c r="D7" s="72"/>
      <c r="E7" s="73"/>
      <c r="F7" s="73"/>
      <c r="G7" s="73"/>
      <c r="H7" s="74"/>
      <c r="I7" s="75" t="s">
        <v>1</v>
      </c>
      <c r="J7" s="76"/>
      <c r="K7" s="76"/>
      <c r="L7" s="77"/>
      <c r="M7" s="77"/>
      <c r="N7" s="77"/>
      <c r="O7" s="77"/>
      <c r="P7" s="77"/>
      <c r="Q7" s="77"/>
      <c r="R7" s="77"/>
      <c r="S7" s="77"/>
      <c r="T7" s="77"/>
      <c r="U7" s="78"/>
      <c r="V7" s="37"/>
    </row>
    <row r="8" spans="2:22" ht="14.1" customHeight="1" x14ac:dyDescent="0.25">
      <c r="B8" s="79" t="s">
        <v>13</v>
      </c>
      <c r="C8" s="80"/>
      <c r="D8" s="72"/>
      <c r="E8" s="73"/>
      <c r="F8" s="75" t="s">
        <v>20</v>
      </c>
      <c r="G8" s="76"/>
      <c r="H8" s="76"/>
      <c r="I8" s="81" t="s">
        <v>48</v>
      </c>
      <c r="J8" s="81"/>
      <c r="K8" s="81"/>
      <c r="L8" s="81"/>
      <c r="M8" s="81"/>
      <c r="N8" s="81"/>
      <c r="O8" s="81"/>
      <c r="P8" s="81"/>
      <c r="Q8" s="81"/>
      <c r="R8" s="11" t="s">
        <v>8</v>
      </c>
      <c r="S8" s="82"/>
      <c r="T8" s="83"/>
      <c r="U8" s="84"/>
      <c r="V8" s="38"/>
    </row>
    <row r="9" spans="2:22" ht="27.95" customHeight="1" thickBot="1" x14ac:dyDescent="0.3">
      <c r="B9" s="28" t="s">
        <v>49</v>
      </c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4"/>
      <c r="V9" s="39"/>
    </row>
    <row r="10" spans="2:22" ht="21.95" customHeight="1" thickBot="1" x14ac:dyDescent="0.3">
      <c r="B10" s="13" t="s">
        <v>15</v>
      </c>
      <c r="C10" s="14" t="s">
        <v>16</v>
      </c>
      <c r="D10" s="3" t="s">
        <v>17</v>
      </c>
      <c r="E10" s="3" t="s">
        <v>26</v>
      </c>
      <c r="F10" s="65" t="s">
        <v>25</v>
      </c>
      <c r="G10" s="66"/>
      <c r="H10" s="66"/>
      <c r="I10" s="67"/>
      <c r="J10" s="68" t="s">
        <v>27</v>
      </c>
      <c r="K10" s="69"/>
      <c r="L10" s="70"/>
      <c r="M10" s="65" t="s">
        <v>29</v>
      </c>
      <c r="N10" s="66"/>
      <c r="O10" s="66"/>
      <c r="P10" s="67"/>
      <c r="Q10" s="14" t="s">
        <v>0</v>
      </c>
      <c r="R10" s="14" t="s">
        <v>21</v>
      </c>
      <c r="S10" s="15" t="s">
        <v>50</v>
      </c>
      <c r="T10" s="65" t="s">
        <v>22</v>
      </c>
      <c r="U10" s="71"/>
      <c r="V10" s="40"/>
    </row>
    <row r="11" spans="2:22" ht="3" customHeight="1" x14ac:dyDescent="0.25">
      <c r="B11" s="16"/>
      <c r="C11" s="1"/>
      <c r="D11" s="4"/>
      <c r="E11" s="4"/>
      <c r="F11" s="52"/>
      <c r="G11" s="53"/>
      <c r="H11" s="53"/>
      <c r="I11" s="54"/>
      <c r="J11" s="52"/>
      <c r="K11" s="53"/>
      <c r="L11" s="54"/>
      <c r="M11" s="52"/>
      <c r="N11" s="53"/>
      <c r="O11" s="53"/>
      <c r="P11" s="54"/>
      <c r="Q11" s="20"/>
      <c r="R11" s="2"/>
      <c r="S11" s="21"/>
      <c r="T11" s="58"/>
      <c r="U11" s="59"/>
      <c r="V11" s="41"/>
    </row>
    <row r="12" spans="2:22" ht="50.1" customHeight="1" x14ac:dyDescent="0.25">
      <c r="B12" s="16"/>
      <c r="C12" s="1" t="s">
        <v>52</v>
      </c>
      <c r="D12" s="4" t="s">
        <v>30</v>
      </c>
      <c r="E12" s="4" t="s">
        <v>39</v>
      </c>
      <c r="F12" s="52" t="s">
        <v>43</v>
      </c>
      <c r="G12" s="53"/>
      <c r="H12" s="53"/>
      <c r="I12" s="54"/>
      <c r="J12" s="55" t="s">
        <v>36</v>
      </c>
      <c r="K12" s="56"/>
      <c r="L12" s="57"/>
      <c r="M12" s="55" t="s">
        <v>37</v>
      </c>
      <c r="N12" s="56"/>
      <c r="O12" s="56"/>
      <c r="P12" s="57"/>
      <c r="Q12" s="20">
        <v>11.96</v>
      </c>
      <c r="R12" s="27">
        <v>29.99</v>
      </c>
      <c r="S12" s="21">
        <v>1800</v>
      </c>
      <c r="T12" s="60">
        <f t="shared" ref="T12:T17" si="0">Q12*S12</f>
        <v>21528</v>
      </c>
      <c r="U12" s="61"/>
      <c r="V12" s="41"/>
    </row>
    <row r="13" spans="2:22" ht="50.1" customHeight="1" x14ac:dyDescent="0.25">
      <c r="B13" s="16"/>
      <c r="C13" s="1" t="s">
        <v>53</v>
      </c>
      <c r="D13" s="5" t="s">
        <v>31</v>
      </c>
      <c r="E13" s="4" t="s">
        <v>39</v>
      </c>
      <c r="F13" s="52" t="s">
        <v>44</v>
      </c>
      <c r="G13" s="53"/>
      <c r="H13" s="53"/>
      <c r="I13" s="54"/>
      <c r="J13" s="55" t="s">
        <v>36</v>
      </c>
      <c r="K13" s="56"/>
      <c r="L13" s="57"/>
      <c r="M13" s="52" t="s">
        <v>37</v>
      </c>
      <c r="N13" s="53"/>
      <c r="O13" s="53"/>
      <c r="P13" s="54"/>
      <c r="Q13" s="20">
        <v>11.96</v>
      </c>
      <c r="R13" s="27">
        <v>29.99</v>
      </c>
      <c r="S13" s="21">
        <v>900</v>
      </c>
      <c r="T13" s="58">
        <f t="shared" si="0"/>
        <v>10764</v>
      </c>
      <c r="U13" s="59"/>
      <c r="V13" s="41"/>
    </row>
    <row r="14" spans="2:22" ht="50.1" customHeight="1" x14ac:dyDescent="0.25">
      <c r="B14" s="16"/>
      <c r="C14" s="1" t="s">
        <v>54</v>
      </c>
      <c r="D14" s="5" t="s">
        <v>23</v>
      </c>
      <c r="E14" s="4" t="s">
        <v>39</v>
      </c>
      <c r="F14" s="52" t="s">
        <v>45</v>
      </c>
      <c r="G14" s="53"/>
      <c r="H14" s="53"/>
      <c r="I14" s="54"/>
      <c r="J14" s="55" t="s">
        <v>36</v>
      </c>
      <c r="K14" s="56"/>
      <c r="L14" s="57"/>
      <c r="M14" s="52" t="s">
        <v>37</v>
      </c>
      <c r="N14" s="53"/>
      <c r="O14" s="53"/>
      <c r="P14" s="54"/>
      <c r="Q14" s="20">
        <v>11.96</v>
      </c>
      <c r="R14" s="27">
        <v>29.99</v>
      </c>
      <c r="S14" s="21">
        <v>1800</v>
      </c>
      <c r="T14" s="58">
        <f t="shared" si="0"/>
        <v>21528</v>
      </c>
      <c r="U14" s="59"/>
      <c r="V14" s="41"/>
    </row>
    <row r="15" spans="2:22" ht="3" customHeight="1" x14ac:dyDescent="0.25">
      <c r="B15" s="16"/>
      <c r="C15" s="1"/>
      <c r="D15" s="4"/>
      <c r="E15" s="4"/>
      <c r="F15" s="52"/>
      <c r="G15" s="53"/>
      <c r="H15" s="53"/>
      <c r="I15" s="54"/>
      <c r="J15" s="52"/>
      <c r="K15" s="53"/>
      <c r="L15" s="54"/>
      <c r="M15" s="52"/>
      <c r="N15" s="53"/>
      <c r="O15" s="53"/>
      <c r="P15" s="54"/>
      <c r="Q15" s="20"/>
      <c r="R15" s="2"/>
      <c r="S15" s="21"/>
      <c r="T15" s="58"/>
      <c r="U15" s="59"/>
      <c r="V15" s="41"/>
    </row>
    <row r="16" spans="2:22" ht="50.1" customHeight="1" x14ac:dyDescent="0.25">
      <c r="B16" s="16"/>
      <c r="C16" s="1" t="s">
        <v>55</v>
      </c>
      <c r="D16" s="4" t="s">
        <v>30</v>
      </c>
      <c r="E16" s="4" t="s">
        <v>39</v>
      </c>
      <c r="F16" s="52" t="s">
        <v>43</v>
      </c>
      <c r="G16" s="53"/>
      <c r="H16" s="53"/>
      <c r="I16" s="54"/>
      <c r="J16" s="55" t="s">
        <v>28</v>
      </c>
      <c r="K16" s="56"/>
      <c r="L16" s="57"/>
      <c r="M16" s="52" t="s">
        <v>37</v>
      </c>
      <c r="N16" s="53"/>
      <c r="O16" s="53"/>
      <c r="P16" s="54"/>
      <c r="Q16" s="20">
        <v>11.96</v>
      </c>
      <c r="R16" s="27">
        <v>29.99</v>
      </c>
      <c r="S16" s="21">
        <v>1800</v>
      </c>
      <c r="T16" s="58">
        <f t="shared" si="0"/>
        <v>21528</v>
      </c>
      <c r="U16" s="59"/>
      <c r="V16" s="41"/>
    </row>
    <row r="17" spans="2:22" ht="50.1" customHeight="1" x14ac:dyDescent="0.25">
      <c r="B17" s="16"/>
      <c r="C17" s="1" t="s">
        <v>56</v>
      </c>
      <c r="D17" s="5" t="s">
        <v>31</v>
      </c>
      <c r="E17" s="4" t="s">
        <v>39</v>
      </c>
      <c r="F17" s="52" t="s">
        <v>44</v>
      </c>
      <c r="G17" s="53"/>
      <c r="H17" s="53"/>
      <c r="I17" s="54"/>
      <c r="J17" s="55" t="s">
        <v>28</v>
      </c>
      <c r="K17" s="56"/>
      <c r="L17" s="57"/>
      <c r="M17" s="52" t="s">
        <v>37</v>
      </c>
      <c r="N17" s="53"/>
      <c r="O17" s="53"/>
      <c r="P17" s="54"/>
      <c r="Q17" s="20">
        <v>11.96</v>
      </c>
      <c r="R17" s="27">
        <v>29.99</v>
      </c>
      <c r="S17" s="21">
        <v>800</v>
      </c>
      <c r="T17" s="58">
        <f t="shared" si="0"/>
        <v>9568</v>
      </c>
      <c r="U17" s="59"/>
      <c r="V17" s="41"/>
    </row>
    <row r="18" spans="2:22" ht="50.1" customHeight="1" x14ac:dyDescent="0.25">
      <c r="B18" s="16"/>
      <c r="C18" s="1" t="s">
        <v>57</v>
      </c>
      <c r="D18" s="5" t="s">
        <v>23</v>
      </c>
      <c r="E18" s="4" t="s">
        <v>39</v>
      </c>
      <c r="F18" s="52" t="s">
        <v>45</v>
      </c>
      <c r="G18" s="53"/>
      <c r="H18" s="53"/>
      <c r="I18" s="54"/>
      <c r="J18" s="55" t="s">
        <v>28</v>
      </c>
      <c r="K18" s="56"/>
      <c r="L18" s="57"/>
      <c r="M18" s="52" t="s">
        <v>37</v>
      </c>
      <c r="N18" s="53"/>
      <c r="O18" s="53"/>
      <c r="P18" s="54"/>
      <c r="Q18" s="20">
        <v>11.96</v>
      </c>
      <c r="R18" s="27">
        <v>29.99</v>
      </c>
      <c r="S18" s="21">
        <v>2200</v>
      </c>
      <c r="T18" s="60">
        <f t="shared" ref="T18:T25" si="1">Q18*S18</f>
        <v>26312.000000000004</v>
      </c>
      <c r="U18" s="61"/>
      <c r="V18" s="41"/>
    </row>
    <row r="19" spans="2:22" ht="3" customHeight="1" x14ac:dyDescent="0.25">
      <c r="B19" s="16"/>
      <c r="C19" s="1"/>
      <c r="D19" s="4"/>
      <c r="E19" s="4"/>
      <c r="F19" s="52"/>
      <c r="G19" s="53"/>
      <c r="H19" s="53"/>
      <c r="I19" s="54"/>
      <c r="J19" s="52"/>
      <c r="K19" s="53"/>
      <c r="L19" s="54"/>
      <c r="M19" s="52"/>
      <c r="N19" s="53"/>
      <c r="O19" s="53"/>
      <c r="P19" s="54"/>
      <c r="Q19" s="20"/>
      <c r="R19" s="2"/>
      <c r="S19" s="21"/>
      <c r="T19" s="58"/>
      <c r="U19" s="59"/>
      <c r="V19" s="41"/>
    </row>
    <row r="20" spans="2:22" ht="50.1" customHeight="1" x14ac:dyDescent="0.25">
      <c r="B20" s="16"/>
      <c r="C20" s="1" t="s">
        <v>58</v>
      </c>
      <c r="D20" s="5" t="s">
        <v>30</v>
      </c>
      <c r="E20" s="4" t="s">
        <v>40</v>
      </c>
      <c r="F20" s="52" t="s">
        <v>43</v>
      </c>
      <c r="G20" s="53"/>
      <c r="H20" s="53"/>
      <c r="I20" s="54"/>
      <c r="J20" s="55" t="s">
        <v>36</v>
      </c>
      <c r="K20" s="56"/>
      <c r="L20" s="57"/>
      <c r="M20" s="52" t="s">
        <v>37</v>
      </c>
      <c r="N20" s="53"/>
      <c r="O20" s="53"/>
      <c r="P20" s="54"/>
      <c r="Q20" s="20">
        <v>14.94</v>
      </c>
      <c r="R20" s="26">
        <v>34.99</v>
      </c>
      <c r="S20" s="21">
        <v>700</v>
      </c>
      <c r="T20" s="58">
        <f t="shared" si="1"/>
        <v>10458</v>
      </c>
      <c r="U20" s="59"/>
      <c r="V20" s="41"/>
    </row>
    <row r="21" spans="2:22" ht="50.1" customHeight="1" x14ac:dyDescent="0.25">
      <c r="B21" s="16"/>
      <c r="C21" s="1" t="s">
        <v>59</v>
      </c>
      <c r="D21" s="4" t="s">
        <v>31</v>
      </c>
      <c r="E21" s="4" t="s">
        <v>40</v>
      </c>
      <c r="F21" s="52" t="s">
        <v>44</v>
      </c>
      <c r="G21" s="53"/>
      <c r="H21" s="53"/>
      <c r="I21" s="54"/>
      <c r="J21" s="55" t="s">
        <v>36</v>
      </c>
      <c r="K21" s="56"/>
      <c r="L21" s="57"/>
      <c r="M21" s="52" t="s">
        <v>37</v>
      </c>
      <c r="N21" s="53"/>
      <c r="O21" s="53"/>
      <c r="P21" s="54"/>
      <c r="Q21" s="20">
        <v>14.94</v>
      </c>
      <c r="R21" s="26">
        <v>34.99</v>
      </c>
      <c r="S21" s="21">
        <v>180</v>
      </c>
      <c r="T21" s="58">
        <f t="shared" ref="T21" si="2">Q21*S21</f>
        <v>2689.2</v>
      </c>
      <c r="U21" s="59"/>
      <c r="V21" s="41"/>
    </row>
    <row r="22" spans="2:22" ht="50.1" customHeight="1" x14ac:dyDescent="0.25">
      <c r="B22" s="16"/>
      <c r="C22" s="1" t="s">
        <v>60</v>
      </c>
      <c r="D22" s="4" t="s">
        <v>23</v>
      </c>
      <c r="E22" s="4" t="s">
        <v>40</v>
      </c>
      <c r="F22" s="52" t="s">
        <v>45</v>
      </c>
      <c r="G22" s="53"/>
      <c r="H22" s="53"/>
      <c r="I22" s="54"/>
      <c r="J22" s="55" t="s">
        <v>36</v>
      </c>
      <c r="K22" s="56"/>
      <c r="L22" s="57"/>
      <c r="M22" s="52" t="s">
        <v>37</v>
      </c>
      <c r="N22" s="53"/>
      <c r="O22" s="53"/>
      <c r="P22" s="54"/>
      <c r="Q22" s="20">
        <v>14.94</v>
      </c>
      <c r="R22" s="26">
        <v>34.99</v>
      </c>
      <c r="S22" s="21">
        <v>700</v>
      </c>
      <c r="T22" s="58">
        <f t="shared" si="1"/>
        <v>10458</v>
      </c>
      <c r="U22" s="59"/>
      <c r="V22" s="41"/>
    </row>
    <row r="23" spans="2:22" ht="3" customHeight="1" x14ac:dyDescent="0.25">
      <c r="B23" s="16"/>
      <c r="C23" s="1"/>
      <c r="D23" s="4"/>
      <c r="E23" s="4"/>
      <c r="F23" s="52"/>
      <c r="G23" s="53"/>
      <c r="H23" s="53"/>
      <c r="I23" s="54"/>
      <c r="J23" s="52"/>
      <c r="K23" s="53"/>
      <c r="L23" s="54"/>
      <c r="M23" s="52"/>
      <c r="N23" s="53"/>
      <c r="O23" s="53"/>
      <c r="P23" s="54"/>
      <c r="Q23" s="20"/>
      <c r="R23" s="2"/>
      <c r="S23" s="21"/>
      <c r="T23" s="58"/>
      <c r="U23" s="59"/>
      <c r="V23" s="41"/>
    </row>
    <row r="24" spans="2:22" ht="50.1" customHeight="1" x14ac:dyDescent="0.25">
      <c r="B24" s="16"/>
      <c r="C24" s="1" t="s">
        <v>61</v>
      </c>
      <c r="D24" s="5" t="s">
        <v>30</v>
      </c>
      <c r="E24" s="4" t="s">
        <v>40</v>
      </c>
      <c r="F24" s="52" t="s">
        <v>43</v>
      </c>
      <c r="G24" s="53"/>
      <c r="H24" s="53"/>
      <c r="I24" s="54"/>
      <c r="J24" s="55" t="s">
        <v>28</v>
      </c>
      <c r="K24" s="56"/>
      <c r="L24" s="57"/>
      <c r="M24" s="52" t="s">
        <v>37</v>
      </c>
      <c r="N24" s="53"/>
      <c r="O24" s="53"/>
      <c r="P24" s="54"/>
      <c r="Q24" s="20">
        <v>14.94</v>
      </c>
      <c r="R24" s="26">
        <v>34.99</v>
      </c>
      <c r="S24" s="21">
        <v>600</v>
      </c>
      <c r="T24" s="58">
        <f t="shared" si="1"/>
        <v>8964</v>
      </c>
      <c r="U24" s="59"/>
      <c r="V24" s="41"/>
    </row>
    <row r="25" spans="2:22" ht="50.1" customHeight="1" x14ac:dyDescent="0.25">
      <c r="B25" s="16"/>
      <c r="C25" s="1" t="s">
        <v>62</v>
      </c>
      <c r="D25" s="4" t="s">
        <v>31</v>
      </c>
      <c r="E25" s="4" t="s">
        <v>40</v>
      </c>
      <c r="F25" s="52" t="s">
        <v>44</v>
      </c>
      <c r="G25" s="53"/>
      <c r="H25" s="53"/>
      <c r="I25" s="54"/>
      <c r="J25" s="55" t="s">
        <v>28</v>
      </c>
      <c r="K25" s="56"/>
      <c r="L25" s="57"/>
      <c r="M25" s="52" t="s">
        <v>37</v>
      </c>
      <c r="N25" s="53"/>
      <c r="O25" s="53"/>
      <c r="P25" s="54"/>
      <c r="Q25" s="20">
        <v>14.94</v>
      </c>
      <c r="R25" s="26">
        <v>34.99</v>
      </c>
      <c r="S25" s="21">
        <v>100</v>
      </c>
      <c r="T25" s="58">
        <f t="shared" si="1"/>
        <v>1494</v>
      </c>
      <c r="U25" s="59"/>
      <c r="V25" s="41"/>
    </row>
    <row r="26" spans="2:22" ht="50.1" customHeight="1" x14ac:dyDescent="0.25">
      <c r="B26" s="16"/>
      <c r="C26" s="1" t="s">
        <v>63</v>
      </c>
      <c r="D26" s="4" t="s">
        <v>23</v>
      </c>
      <c r="E26" s="4" t="s">
        <v>40</v>
      </c>
      <c r="F26" s="52" t="s">
        <v>45</v>
      </c>
      <c r="G26" s="53"/>
      <c r="H26" s="53"/>
      <c r="I26" s="54"/>
      <c r="J26" s="55" t="s">
        <v>28</v>
      </c>
      <c r="K26" s="56"/>
      <c r="L26" s="57"/>
      <c r="M26" s="52" t="s">
        <v>37</v>
      </c>
      <c r="N26" s="53"/>
      <c r="O26" s="53"/>
      <c r="P26" s="54"/>
      <c r="Q26" s="20">
        <v>14.94</v>
      </c>
      <c r="R26" s="26">
        <v>34.99</v>
      </c>
      <c r="S26" s="21">
        <v>600</v>
      </c>
      <c r="T26" s="58">
        <f t="shared" ref="T26:T37" si="3">Q26*S26</f>
        <v>8964</v>
      </c>
      <c r="U26" s="59"/>
      <c r="V26" s="41"/>
    </row>
    <row r="27" spans="2:22" ht="3" customHeight="1" x14ac:dyDescent="0.25">
      <c r="B27" s="16"/>
      <c r="C27" s="1"/>
      <c r="D27" s="4"/>
      <c r="E27" s="4"/>
      <c r="F27" s="52"/>
      <c r="G27" s="53"/>
      <c r="H27" s="53"/>
      <c r="I27" s="54"/>
      <c r="J27" s="52"/>
      <c r="K27" s="53"/>
      <c r="L27" s="54"/>
      <c r="M27" s="52"/>
      <c r="N27" s="53"/>
      <c r="O27" s="53"/>
      <c r="P27" s="54"/>
      <c r="Q27" s="20"/>
      <c r="R27" s="2"/>
      <c r="S27" s="21"/>
      <c r="T27" s="58"/>
      <c r="U27" s="59"/>
      <c r="V27" s="41"/>
    </row>
    <row r="28" spans="2:22" ht="50.1" customHeight="1" x14ac:dyDescent="0.25">
      <c r="B28" s="16"/>
      <c r="C28" s="1" t="s">
        <v>64</v>
      </c>
      <c r="D28" s="4" t="s">
        <v>30</v>
      </c>
      <c r="E28" s="4" t="s">
        <v>41</v>
      </c>
      <c r="F28" s="52" t="s">
        <v>43</v>
      </c>
      <c r="G28" s="53"/>
      <c r="H28" s="53"/>
      <c r="I28" s="54"/>
      <c r="J28" s="55" t="s">
        <v>36</v>
      </c>
      <c r="K28" s="56"/>
      <c r="L28" s="57"/>
      <c r="M28" s="52" t="s">
        <v>37</v>
      </c>
      <c r="N28" s="53"/>
      <c r="O28" s="53"/>
      <c r="P28" s="54"/>
      <c r="Q28" s="29">
        <v>16.95</v>
      </c>
      <c r="R28" s="25">
        <v>39.99</v>
      </c>
      <c r="S28" s="21">
        <v>500</v>
      </c>
      <c r="T28" s="58">
        <f t="shared" si="3"/>
        <v>8475</v>
      </c>
      <c r="U28" s="59"/>
      <c r="V28" s="41"/>
    </row>
    <row r="29" spans="2:22" ht="50.1" customHeight="1" x14ac:dyDescent="0.25">
      <c r="B29" s="16"/>
      <c r="C29" s="1" t="s">
        <v>65</v>
      </c>
      <c r="D29" s="5" t="s">
        <v>31</v>
      </c>
      <c r="E29" s="4" t="s">
        <v>41</v>
      </c>
      <c r="F29" s="52" t="s">
        <v>44</v>
      </c>
      <c r="G29" s="53"/>
      <c r="H29" s="53"/>
      <c r="I29" s="54"/>
      <c r="J29" s="55" t="s">
        <v>36</v>
      </c>
      <c r="K29" s="56"/>
      <c r="L29" s="57"/>
      <c r="M29" s="52" t="s">
        <v>37</v>
      </c>
      <c r="N29" s="53"/>
      <c r="O29" s="53"/>
      <c r="P29" s="54"/>
      <c r="Q29" s="29">
        <v>16.95</v>
      </c>
      <c r="R29" s="25">
        <v>39.99</v>
      </c>
      <c r="S29" s="21">
        <v>300</v>
      </c>
      <c r="T29" s="58">
        <f t="shared" si="3"/>
        <v>5085</v>
      </c>
      <c r="U29" s="59"/>
      <c r="V29" s="41"/>
    </row>
    <row r="30" spans="2:22" ht="50.1" customHeight="1" x14ac:dyDescent="0.25">
      <c r="B30" s="16"/>
      <c r="C30" s="1" t="s">
        <v>66</v>
      </c>
      <c r="D30" s="5" t="s">
        <v>23</v>
      </c>
      <c r="E30" s="4" t="s">
        <v>41</v>
      </c>
      <c r="F30" s="52" t="s">
        <v>45</v>
      </c>
      <c r="G30" s="53"/>
      <c r="H30" s="53"/>
      <c r="I30" s="54"/>
      <c r="J30" s="55" t="s">
        <v>36</v>
      </c>
      <c r="K30" s="56"/>
      <c r="L30" s="57"/>
      <c r="M30" s="52" t="s">
        <v>37</v>
      </c>
      <c r="N30" s="53"/>
      <c r="O30" s="53"/>
      <c r="P30" s="54"/>
      <c r="Q30" s="29">
        <v>16.95</v>
      </c>
      <c r="R30" s="25">
        <v>39.99</v>
      </c>
      <c r="S30" s="21">
        <v>500</v>
      </c>
      <c r="T30" s="58">
        <f t="shared" si="3"/>
        <v>8475</v>
      </c>
      <c r="U30" s="59"/>
      <c r="V30" s="41"/>
    </row>
    <row r="31" spans="2:22" ht="3" customHeight="1" x14ac:dyDescent="0.25">
      <c r="B31" s="16"/>
      <c r="C31" s="1"/>
      <c r="D31" s="4"/>
      <c r="E31" s="4"/>
      <c r="F31" s="52"/>
      <c r="G31" s="53"/>
      <c r="H31" s="53"/>
      <c r="I31" s="54"/>
      <c r="J31" s="52"/>
      <c r="K31" s="53"/>
      <c r="L31" s="54"/>
      <c r="M31" s="52"/>
      <c r="N31" s="53"/>
      <c r="O31" s="53"/>
      <c r="P31" s="54"/>
      <c r="Q31" s="20"/>
      <c r="R31" s="26"/>
      <c r="S31" s="21"/>
      <c r="T31" s="58"/>
      <c r="U31" s="59"/>
      <c r="V31" s="41"/>
    </row>
    <row r="32" spans="2:22" ht="50.1" customHeight="1" x14ac:dyDescent="0.25">
      <c r="B32" s="16"/>
      <c r="C32" s="1" t="s">
        <v>67</v>
      </c>
      <c r="D32" s="4" t="s">
        <v>30</v>
      </c>
      <c r="E32" s="4" t="s">
        <v>41</v>
      </c>
      <c r="F32" s="52" t="s">
        <v>43</v>
      </c>
      <c r="G32" s="53"/>
      <c r="H32" s="53"/>
      <c r="I32" s="54"/>
      <c r="J32" s="55" t="s">
        <v>28</v>
      </c>
      <c r="K32" s="56"/>
      <c r="L32" s="57"/>
      <c r="M32" s="52" t="s">
        <v>37</v>
      </c>
      <c r="N32" s="53"/>
      <c r="O32" s="53"/>
      <c r="P32" s="54"/>
      <c r="Q32" s="29">
        <v>16.95</v>
      </c>
      <c r="R32" s="25">
        <v>39.99</v>
      </c>
      <c r="S32" s="21">
        <v>400</v>
      </c>
      <c r="T32" s="58">
        <f t="shared" si="3"/>
        <v>6780</v>
      </c>
      <c r="U32" s="59"/>
      <c r="V32" s="41"/>
    </row>
    <row r="33" spans="2:22" ht="50.1" customHeight="1" x14ac:dyDescent="0.25">
      <c r="B33" s="16"/>
      <c r="C33" s="1" t="s">
        <v>68</v>
      </c>
      <c r="D33" s="5" t="s">
        <v>31</v>
      </c>
      <c r="E33" s="4" t="s">
        <v>41</v>
      </c>
      <c r="F33" s="52" t="s">
        <v>44</v>
      </c>
      <c r="G33" s="53"/>
      <c r="H33" s="53"/>
      <c r="I33" s="54"/>
      <c r="J33" s="55" t="s">
        <v>28</v>
      </c>
      <c r="K33" s="56"/>
      <c r="L33" s="57"/>
      <c r="M33" s="52" t="s">
        <v>37</v>
      </c>
      <c r="N33" s="53"/>
      <c r="O33" s="53"/>
      <c r="P33" s="54"/>
      <c r="Q33" s="29">
        <v>16.95</v>
      </c>
      <c r="R33" s="25">
        <v>39.99</v>
      </c>
      <c r="S33" s="21">
        <v>300</v>
      </c>
      <c r="T33" s="58">
        <f t="shared" si="3"/>
        <v>5085</v>
      </c>
      <c r="U33" s="59"/>
      <c r="V33" s="41"/>
    </row>
    <row r="34" spans="2:22" ht="50.1" customHeight="1" x14ac:dyDescent="0.25">
      <c r="B34" s="16"/>
      <c r="C34" s="1" t="s">
        <v>69</v>
      </c>
      <c r="D34" s="5" t="s">
        <v>23</v>
      </c>
      <c r="E34" s="4" t="s">
        <v>41</v>
      </c>
      <c r="F34" s="52" t="s">
        <v>45</v>
      </c>
      <c r="G34" s="53"/>
      <c r="H34" s="53"/>
      <c r="I34" s="54"/>
      <c r="J34" s="55" t="s">
        <v>28</v>
      </c>
      <c r="K34" s="56"/>
      <c r="L34" s="57"/>
      <c r="M34" s="52" t="s">
        <v>37</v>
      </c>
      <c r="N34" s="53"/>
      <c r="O34" s="53"/>
      <c r="P34" s="54"/>
      <c r="Q34" s="29">
        <v>16.95</v>
      </c>
      <c r="R34" s="25">
        <v>39.99</v>
      </c>
      <c r="S34" s="21">
        <v>400</v>
      </c>
      <c r="T34" s="58">
        <f t="shared" si="3"/>
        <v>6780</v>
      </c>
      <c r="U34" s="59"/>
      <c r="V34" s="41"/>
    </row>
    <row r="35" spans="2:22" ht="3" customHeight="1" x14ac:dyDescent="0.25">
      <c r="B35" s="16"/>
      <c r="C35" s="1"/>
      <c r="D35" s="4"/>
      <c r="E35" s="4"/>
      <c r="F35" s="52"/>
      <c r="G35" s="53"/>
      <c r="H35" s="53"/>
      <c r="I35" s="54"/>
      <c r="J35" s="52"/>
      <c r="K35" s="53"/>
      <c r="L35" s="54"/>
      <c r="M35" s="52"/>
      <c r="N35" s="53"/>
      <c r="O35" s="53"/>
      <c r="P35" s="54"/>
      <c r="Q35" s="20"/>
      <c r="R35" s="26"/>
      <c r="S35" s="21"/>
      <c r="T35" s="58"/>
      <c r="U35" s="59"/>
      <c r="V35" s="41"/>
    </row>
    <row r="36" spans="2:22" ht="50.1" customHeight="1" x14ac:dyDescent="0.25">
      <c r="B36" s="16"/>
      <c r="C36" s="1" t="s">
        <v>70</v>
      </c>
      <c r="D36" s="5" t="s">
        <v>30</v>
      </c>
      <c r="E36" s="4" t="s">
        <v>42</v>
      </c>
      <c r="F36" s="52" t="s">
        <v>43</v>
      </c>
      <c r="G36" s="53"/>
      <c r="H36" s="53"/>
      <c r="I36" s="54"/>
      <c r="J36" s="55" t="s">
        <v>36</v>
      </c>
      <c r="K36" s="56"/>
      <c r="L36" s="57"/>
      <c r="M36" s="52" t="s">
        <v>38</v>
      </c>
      <c r="N36" s="53"/>
      <c r="O36" s="53"/>
      <c r="P36" s="54"/>
      <c r="Q36" s="29">
        <v>19.52</v>
      </c>
      <c r="R36" s="25">
        <v>49.99</v>
      </c>
      <c r="S36" s="21">
        <v>200</v>
      </c>
      <c r="T36" s="58">
        <f t="shared" si="3"/>
        <v>3904</v>
      </c>
      <c r="U36" s="59"/>
      <c r="V36" s="41"/>
    </row>
    <row r="37" spans="2:22" ht="50.1" customHeight="1" x14ac:dyDescent="0.25">
      <c r="B37" s="16"/>
      <c r="C37" s="1" t="s">
        <v>71</v>
      </c>
      <c r="D37" s="5" t="s">
        <v>32</v>
      </c>
      <c r="E37" s="4" t="s">
        <v>42</v>
      </c>
      <c r="F37" s="52" t="s">
        <v>44</v>
      </c>
      <c r="G37" s="53"/>
      <c r="H37" s="53"/>
      <c r="I37" s="54"/>
      <c r="J37" s="55" t="s">
        <v>36</v>
      </c>
      <c r="K37" s="56"/>
      <c r="L37" s="57"/>
      <c r="M37" s="52" t="s">
        <v>38</v>
      </c>
      <c r="N37" s="53"/>
      <c r="O37" s="53"/>
      <c r="P37" s="54"/>
      <c r="Q37" s="29">
        <v>19.52</v>
      </c>
      <c r="R37" s="25">
        <v>49.99</v>
      </c>
      <c r="S37" s="21">
        <v>120</v>
      </c>
      <c r="T37" s="58">
        <f t="shared" si="3"/>
        <v>2342.4</v>
      </c>
      <c r="U37" s="59"/>
      <c r="V37" s="41"/>
    </row>
    <row r="38" spans="2:22" ht="50.1" customHeight="1" x14ac:dyDescent="0.25">
      <c r="B38" s="22"/>
      <c r="C38" s="1" t="s">
        <v>72</v>
      </c>
      <c r="D38" s="5" t="s">
        <v>23</v>
      </c>
      <c r="E38" s="4" t="s">
        <v>42</v>
      </c>
      <c r="F38" s="52" t="s">
        <v>45</v>
      </c>
      <c r="G38" s="53"/>
      <c r="H38" s="53"/>
      <c r="I38" s="54"/>
      <c r="J38" s="55" t="s">
        <v>36</v>
      </c>
      <c r="K38" s="56"/>
      <c r="L38" s="57"/>
      <c r="M38" s="52" t="s">
        <v>38</v>
      </c>
      <c r="N38" s="53"/>
      <c r="O38" s="53"/>
      <c r="P38" s="54"/>
      <c r="Q38" s="29">
        <v>19.52</v>
      </c>
      <c r="R38" s="25">
        <v>49.99</v>
      </c>
      <c r="S38" s="21">
        <v>200</v>
      </c>
      <c r="T38" s="58">
        <f t="shared" ref="T38" si="4">Q38*S38</f>
        <v>3904</v>
      </c>
      <c r="U38" s="59"/>
      <c r="V38" s="41"/>
    </row>
    <row r="39" spans="2:22" ht="50.1" customHeight="1" x14ac:dyDescent="0.25">
      <c r="B39" s="16"/>
      <c r="C39" s="1" t="s">
        <v>73</v>
      </c>
      <c r="D39" s="5" t="s">
        <v>33</v>
      </c>
      <c r="E39" s="4" t="s">
        <v>42</v>
      </c>
      <c r="F39" s="52" t="s">
        <v>46</v>
      </c>
      <c r="G39" s="53"/>
      <c r="H39" s="53"/>
      <c r="I39" s="54"/>
      <c r="J39" s="55" t="s">
        <v>36</v>
      </c>
      <c r="K39" s="56"/>
      <c r="L39" s="57"/>
      <c r="M39" s="52" t="s">
        <v>38</v>
      </c>
      <c r="N39" s="53"/>
      <c r="O39" s="53"/>
      <c r="P39" s="54"/>
      <c r="Q39" s="29">
        <v>19.52</v>
      </c>
      <c r="R39" s="25">
        <v>49.99</v>
      </c>
      <c r="S39" s="21">
        <v>100</v>
      </c>
      <c r="T39" s="58">
        <f t="shared" ref="T39:T48" si="5">Q39*S39</f>
        <v>1952</v>
      </c>
      <c r="U39" s="59"/>
      <c r="V39" s="41"/>
    </row>
    <row r="40" spans="2:22" ht="50.1" customHeight="1" x14ac:dyDescent="0.25">
      <c r="B40" s="16"/>
      <c r="C40" s="1" t="s">
        <v>74</v>
      </c>
      <c r="D40" s="5" t="s">
        <v>34</v>
      </c>
      <c r="E40" s="4" t="s">
        <v>42</v>
      </c>
      <c r="F40" s="52" t="s">
        <v>47</v>
      </c>
      <c r="G40" s="53"/>
      <c r="H40" s="53"/>
      <c r="I40" s="54"/>
      <c r="J40" s="55" t="s">
        <v>36</v>
      </c>
      <c r="K40" s="56"/>
      <c r="L40" s="57"/>
      <c r="M40" s="52" t="s">
        <v>38</v>
      </c>
      <c r="N40" s="53"/>
      <c r="O40" s="53"/>
      <c r="P40" s="54"/>
      <c r="Q40" s="29">
        <v>19.52</v>
      </c>
      <c r="R40" s="25">
        <v>49.99</v>
      </c>
      <c r="S40" s="21">
        <v>100</v>
      </c>
      <c r="T40" s="58">
        <f t="shared" si="5"/>
        <v>1952</v>
      </c>
      <c r="U40" s="59"/>
      <c r="V40" s="41"/>
    </row>
    <row r="41" spans="2:22" ht="3" customHeight="1" x14ac:dyDescent="0.25">
      <c r="B41" s="16"/>
      <c r="C41" s="1"/>
      <c r="D41" s="4"/>
      <c r="E41" s="4"/>
      <c r="F41" s="52"/>
      <c r="G41" s="53"/>
      <c r="H41" s="53"/>
      <c r="I41" s="54"/>
      <c r="J41" s="52"/>
      <c r="K41" s="53"/>
      <c r="L41" s="54"/>
      <c r="M41" s="52"/>
      <c r="N41" s="53"/>
      <c r="O41" s="53"/>
      <c r="P41" s="54"/>
      <c r="Q41" s="20"/>
      <c r="R41" s="26"/>
      <c r="S41" s="21"/>
      <c r="T41" s="58"/>
      <c r="U41" s="59"/>
      <c r="V41" s="41"/>
    </row>
    <row r="42" spans="2:22" ht="50.1" customHeight="1" x14ac:dyDescent="0.25">
      <c r="B42" s="16"/>
      <c r="C42" s="1" t="s">
        <v>75</v>
      </c>
      <c r="D42" s="5" t="s">
        <v>30</v>
      </c>
      <c r="E42" s="4" t="s">
        <v>42</v>
      </c>
      <c r="F42" s="52" t="s">
        <v>43</v>
      </c>
      <c r="G42" s="53"/>
      <c r="H42" s="53"/>
      <c r="I42" s="54"/>
      <c r="J42" s="55" t="s">
        <v>28</v>
      </c>
      <c r="K42" s="56"/>
      <c r="L42" s="57"/>
      <c r="M42" s="52" t="s">
        <v>38</v>
      </c>
      <c r="N42" s="53"/>
      <c r="O42" s="53"/>
      <c r="P42" s="54"/>
      <c r="Q42" s="29">
        <v>19.52</v>
      </c>
      <c r="R42" s="25">
        <v>49.99</v>
      </c>
      <c r="S42" s="21">
        <v>240</v>
      </c>
      <c r="T42" s="58">
        <f t="shared" si="5"/>
        <v>4684.8</v>
      </c>
      <c r="U42" s="59"/>
      <c r="V42" s="41"/>
    </row>
    <row r="43" spans="2:22" ht="50.1" customHeight="1" x14ac:dyDescent="0.25">
      <c r="B43" s="16"/>
      <c r="C43" s="1" t="s">
        <v>76</v>
      </c>
      <c r="D43" s="5" t="s">
        <v>32</v>
      </c>
      <c r="E43" s="4" t="s">
        <v>42</v>
      </c>
      <c r="F43" s="52" t="s">
        <v>44</v>
      </c>
      <c r="G43" s="53"/>
      <c r="H43" s="53"/>
      <c r="I43" s="54"/>
      <c r="J43" s="55" t="s">
        <v>28</v>
      </c>
      <c r="K43" s="56"/>
      <c r="L43" s="57"/>
      <c r="M43" s="52" t="s">
        <v>38</v>
      </c>
      <c r="N43" s="53"/>
      <c r="O43" s="53"/>
      <c r="P43" s="54"/>
      <c r="Q43" s="29">
        <v>19.52</v>
      </c>
      <c r="R43" s="25">
        <v>49.99</v>
      </c>
      <c r="S43" s="21">
        <v>100</v>
      </c>
      <c r="T43" s="58">
        <f t="shared" si="5"/>
        <v>1952</v>
      </c>
      <c r="U43" s="59"/>
      <c r="V43" s="41"/>
    </row>
    <row r="44" spans="2:22" ht="50.1" customHeight="1" x14ac:dyDescent="0.25">
      <c r="B44" s="16"/>
      <c r="C44" s="1" t="s">
        <v>77</v>
      </c>
      <c r="D44" s="5" t="s">
        <v>23</v>
      </c>
      <c r="E44" s="4" t="s">
        <v>42</v>
      </c>
      <c r="F44" s="52" t="s">
        <v>45</v>
      </c>
      <c r="G44" s="53"/>
      <c r="H44" s="53"/>
      <c r="I44" s="54"/>
      <c r="J44" s="55" t="s">
        <v>28</v>
      </c>
      <c r="K44" s="56"/>
      <c r="L44" s="57"/>
      <c r="M44" s="52" t="s">
        <v>38</v>
      </c>
      <c r="N44" s="53"/>
      <c r="O44" s="53"/>
      <c r="P44" s="54"/>
      <c r="Q44" s="29">
        <v>19.52</v>
      </c>
      <c r="R44" s="25">
        <v>49.99</v>
      </c>
      <c r="S44" s="21">
        <v>240</v>
      </c>
      <c r="T44" s="58">
        <f t="shared" si="5"/>
        <v>4684.8</v>
      </c>
      <c r="U44" s="59"/>
      <c r="V44" s="41"/>
    </row>
    <row r="45" spans="2:22" ht="50.1" customHeight="1" x14ac:dyDescent="0.25">
      <c r="B45" s="16"/>
      <c r="C45" s="1" t="s">
        <v>78</v>
      </c>
      <c r="D45" s="5" t="s">
        <v>33</v>
      </c>
      <c r="E45" s="4" t="s">
        <v>42</v>
      </c>
      <c r="F45" s="52" t="s">
        <v>46</v>
      </c>
      <c r="G45" s="53"/>
      <c r="H45" s="53"/>
      <c r="I45" s="54"/>
      <c r="J45" s="55" t="s">
        <v>28</v>
      </c>
      <c r="K45" s="56"/>
      <c r="L45" s="57"/>
      <c r="M45" s="52" t="s">
        <v>38</v>
      </c>
      <c r="N45" s="53"/>
      <c r="O45" s="53"/>
      <c r="P45" s="54"/>
      <c r="Q45" s="29">
        <v>19.52</v>
      </c>
      <c r="R45" s="25">
        <v>49.99</v>
      </c>
      <c r="S45" s="21">
        <v>100</v>
      </c>
      <c r="T45" s="58">
        <f t="shared" si="5"/>
        <v>1952</v>
      </c>
      <c r="U45" s="59"/>
      <c r="V45" s="41"/>
    </row>
    <row r="46" spans="2:22" ht="50.1" customHeight="1" x14ac:dyDescent="0.25">
      <c r="B46" s="16"/>
      <c r="C46" s="1" t="s">
        <v>79</v>
      </c>
      <c r="D46" s="5" t="s">
        <v>34</v>
      </c>
      <c r="E46" s="4" t="s">
        <v>42</v>
      </c>
      <c r="F46" s="52" t="s">
        <v>47</v>
      </c>
      <c r="G46" s="53"/>
      <c r="H46" s="53"/>
      <c r="I46" s="54"/>
      <c r="J46" s="55" t="s">
        <v>28</v>
      </c>
      <c r="K46" s="56"/>
      <c r="L46" s="57"/>
      <c r="M46" s="52" t="s">
        <v>38</v>
      </c>
      <c r="N46" s="53"/>
      <c r="O46" s="53"/>
      <c r="P46" s="54"/>
      <c r="Q46" s="29">
        <v>19.52</v>
      </c>
      <c r="R46" s="25">
        <v>49.99</v>
      </c>
      <c r="S46" s="21">
        <v>100</v>
      </c>
      <c r="T46" s="58">
        <f t="shared" si="5"/>
        <v>1952</v>
      </c>
      <c r="U46" s="59"/>
      <c r="V46" s="41"/>
    </row>
    <row r="47" spans="2:22" ht="3" customHeight="1" x14ac:dyDescent="0.25">
      <c r="B47" s="16"/>
      <c r="C47" s="1"/>
      <c r="D47" s="4"/>
      <c r="E47" s="4"/>
      <c r="F47" s="52"/>
      <c r="G47" s="53"/>
      <c r="H47" s="53"/>
      <c r="I47" s="54"/>
      <c r="J47" s="52"/>
      <c r="K47" s="53"/>
      <c r="L47" s="54"/>
      <c r="M47" s="52"/>
      <c r="N47" s="53"/>
      <c r="O47" s="53"/>
      <c r="P47" s="54"/>
      <c r="Q47" s="20"/>
      <c r="R47" s="26"/>
      <c r="S47" s="21"/>
      <c r="T47" s="58"/>
      <c r="U47" s="59"/>
      <c r="V47" s="41"/>
    </row>
    <row r="48" spans="2:22" ht="50.1" customHeight="1" x14ac:dyDescent="0.25">
      <c r="B48" s="22"/>
      <c r="C48" s="24" t="s">
        <v>80</v>
      </c>
      <c r="D48" s="5" t="s">
        <v>35</v>
      </c>
      <c r="E48" s="5" t="s">
        <v>51</v>
      </c>
      <c r="F48" s="52" t="s">
        <v>84</v>
      </c>
      <c r="G48" s="53"/>
      <c r="H48" s="53"/>
      <c r="I48" s="54"/>
      <c r="J48" s="55" t="s">
        <v>36</v>
      </c>
      <c r="K48" s="56"/>
      <c r="L48" s="57"/>
      <c r="M48" s="52" t="s">
        <v>37</v>
      </c>
      <c r="N48" s="53"/>
      <c r="O48" s="53"/>
      <c r="P48" s="54"/>
      <c r="Q48" s="23">
        <v>15.32</v>
      </c>
      <c r="R48" s="25">
        <v>39.99</v>
      </c>
      <c r="S48" s="21">
        <v>1000</v>
      </c>
      <c r="T48" s="58">
        <f t="shared" si="5"/>
        <v>15320</v>
      </c>
      <c r="U48" s="59"/>
      <c r="V48" s="41"/>
    </row>
    <row r="49" spans="2:22" ht="50.1" customHeight="1" x14ac:dyDescent="0.25">
      <c r="B49" s="16"/>
      <c r="C49" s="24" t="s">
        <v>81</v>
      </c>
      <c r="D49" s="5" t="s">
        <v>24</v>
      </c>
      <c r="E49" s="5" t="s">
        <v>51</v>
      </c>
      <c r="F49" s="52" t="s">
        <v>85</v>
      </c>
      <c r="G49" s="53"/>
      <c r="H49" s="53"/>
      <c r="I49" s="54"/>
      <c r="J49" s="55" t="s">
        <v>36</v>
      </c>
      <c r="K49" s="56"/>
      <c r="L49" s="57"/>
      <c r="M49" s="52" t="s">
        <v>37</v>
      </c>
      <c r="N49" s="53"/>
      <c r="O49" s="53"/>
      <c r="P49" s="54"/>
      <c r="Q49" s="23">
        <v>15.32</v>
      </c>
      <c r="R49" s="25">
        <v>39.99</v>
      </c>
      <c r="S49" s="21">
        <v>1000</v>
      </c>
      <c r="T49" s="58">
        <f t="shared" ref="T49:T52" si="6">Q49*S49</f>
        <v>15320</v>
      </c>
      <c r="U49" s="59"/>
      <c r="V49" s="41"/>
    </row>
    <row r="50" spans="2:22" ht="3" customHeight="1" x14ac:dyDescent="0.25">
      <c r="B50" s="16"/>
      <c r="C50" s="1"/>
      <c r="D50" s="4"/>
      <c r="E50" s="4"/>
      <c r="F50" s="52"/>
      <c r="G50" s="53"/>
      <c r="H50" s="53"/>
      <c r="I50" s="54"/>
      <c r="J50" s="52"/>
      <c r="K50" s="53"/>
      <c r="L50" s="54"/>
      <c r="M50" s="52"/>
      <c r="N50" s="53"/>
      <c r="O50" s="53"/>
      <c r="P50" s="54"/>
      <c r="Q50" s="20"/>
      <c r="R50" s="26"/>
      <c r="S50" s="21"/>
      <c r="T50" s="58"/>
      <c r="U50" s="59"/>
      <c r="V50" s="41"/>
    </row>
    <row r="51" spans="2:22" ht="50.1" customHeight="1" x14ac:dyDescent="0.25">
      <c r="B51" s="16"/>
      <c r="C51" s="24" t="s">
        <v>82</v>
      </c>
      <c r="D51" s="4" t="s">
        <v>35</v>
      </c>
      <c r="E51" s="5" t="s">
        <v>51</v>
      </c>
      <c r="F51" s="52" t="s">
        <v>84</v>
      </c>
      <c r="G51" s="53"/>
      <c r="H51" s="53"/>
      <c r="I51" s="54"/>
      <c r="J51" s="55" t="s">
        <v>28</v>
      </c>
      <c r="K51" s="56"/>
      <c r="L51" s="57"/>
      <c r="M51" s="52" t="s">
        <v>37</v>
      </c>
      <c r="N51" s="53"/>
      <c r="O51" s="53"/>
      <c r="P51" s="54"/>
      <c r="Q51" s="23">
        <v>15.32</v>
      </c>
      <c r="R51" s="25">
        <v>39.99</v>
      </c>
      <c r="S51" s="21">
        <v>1000</v>
      </c>
      <c r="T51" s="58">
        <f t="shared" si="6"/>
        <v>15320</v>
      </c>
      <c r="U51" s="59"/>
      <c r="V51" s="41"/>
    </row>
    <row r="52" spans="2:22" ht="50.1" customHeight="1" x14ac:dyDescent="0.25">
      <c r="B52" s="16"/>
      <c r="C52" s="24" t="s">
        <v>83</v>
      </c>
      <c r="D52" s="5" t="s">
        <v>24</v>
      </c>
      <c r="E52" s="5" t="s">
        <v>51</v>
      </c>
      <c r="F52" s="52" t="s">
        <v>85</v>
      </c>
      <c r="G52" s="53"/>
      <c r="H52" s="53"/>
      <c r="I52" s="54"/>
      <c r="J52" s="55" t="s">
        <v>28</v>
      </c>
      <c r="K52" s="56"/>
      <c r="L52" s="57"/>
      <c r="M52" s="52" t="s">
        <v>37</v>
      </c>
      <c r="N52" s="53"/>
      <c r="O52" s="53"/>
      <c r="P52" s="54"/>
      <c r="Q52" s="23">
        <v>15.32</v>
      </c>
      <c r="R52" s="25">
        <v>39.99</v>
      </c>
      <c r="S52" s="21">
        <v>1000</v>
      </c>
      <c r="T52" s="58">
        <f t="shared" si="6"/>
        <v>15320</v>
      </c>
      <c r="U52" s="59"/>
      <c r="V52" s="41"/>
    </row>
    <row r="53" spans="2:22" ht="3" customHeight="1" x14ac:dyDescent="0.25">
      <c r="B53" s="16"/>
      <c r="C53" s="1"/>
      <c r="D53" s="4"/>
      <c r="E53" s="4"/>
      <c r="F53" s="52"/>
      <c r="G53" s="53"/>
      <c r="H53" s="53"/>
      <c r="I53" s="54"/>
      <c r="J53" s="52"/>
      <c r="K53" s="53"/>
      <c r="L53" s="54"/>
      <c r="M53" s="52"/>
      <c r="N53" s="53"/>
      <c r="O53" s="53"/>
      <c r="P53" s="54"/>
      <c r="Q53" s="20"/>
      <c r="R53" s="26"/>
      <c r="S53" s="21"/>
      <c r="T53" s="58"/>
      <c r="U53" s="59"/>
      <c r="V53" s="41"/>
    </row>
    <row r="54" spans="2:22" x14ac:dyDescent="0.25">
      <c r="B54" s="43"/>
      <c r="C54" s="44"/>
      <c r="D54" s="45"/>
      <c r="E54" s="17"/>
      <c r="F54" s="46"/>
      <c r="G54" s="44"/>
      <c r="H54" s="44"/>
      <c r="I54" s="45"/>
      <c r="J54" s="46"/>
      <c r="K54" s="44"/>
      <c r="L54" s="45"/>
      <c r="M54" s="46"/>
      <c r="N54" s="44"/>
      <c r="O54" s="44"/>
      <c r="P54" s="45"/>
      <c r="Q54" s="18"/>
      <c r="R54" s="18"/>
      <c r="S54" s="30">
        <f>SUM(S12:S53)</f>
        <v>20080</v>
      </c>
      <c r="T54" s="47">
        <f>SUM(T12:U53)</f>
        <v>285495.19999999995</v>
      </c>
      <c r="U54" s="48"/>
      <c r="V54" s="42"/>
    </row>
    <row r="55" spans="2:22" ht="9" customHeight="1" thickBot="1" x14ac:dyDescent="0.3">
      <c r="B55" s="49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1"/>
    </row>
    <row r="57" spans="2:22" x14ac:dyDescent="0.25">
      <c r="T57" s="19"/>
    </row>
  </sheetData>
  <mergeCells count="207">
    <mergeCell ref="B2:U2"/>
    <mergeCell ref="B8:C8"/>
    <mergeCell ref="C9:U9"/>
    <mergeCell ref="T53:U53"/>
    <mergeCell ref="F11:I11"/>
    <mergeCell ref="J11:L11"/>
    <mergeCell ref="I3:J3"/>
    <mergeCell ref="C3:H3"/>
    <mergeCell ref="K3:Q3"/>
    <mergeCell ref="S3:U3"/>
    <mergeCell ref="C4:E4"/>
    <mergeCell ref="F4:H4"/>
    <mergeCell ref="I4:Q4"/>
    <mergeCell ref="S4:U4"/>
    <mergeCell ref="C5:Q5"/>
    <mergeCell ref="T16:U16"/>
    <mergeCell ref="T10:U10"/>
    <mergeCell ref="S8:U8"/>
    <mergeCell ref="S5:U5"/>
    <mergeCell ref="G6:H6"/>
    <mergeCell ref="O6:U6"/>
    <mergeCell ref="I7:K7"/>
    <mergeCell ref="L7:U7"/>
    <mergeCell ref="I6:J6"/>
    <mergeCell ref="K6:M6"/>
    <mergeCell ref="C6:E6"/>
    <mergeCell ref="D8:E8"/>
    <mergeCell ref="D7:H7"/>
    <mergeCell ref="T13:U13"/>
    <mergeCell ref="T14:U14"/>
    <mergeCell ref="T15:U15"/>
    <mergeCell ref="F10:I10"/>
    <mergeCell ref="F12:I12"/>
    <mergeCell ref="F13:I13"/>
    <mergeCell ref="F14:I14"/>
    <mergeCell ref="F15:I15"/>
    <mergeCell ref="M15:P15"/>
    <mergeCell ref="J10:L10"/>
    <mergeCell ref="T11:U11"/>
    <mergeCell ref="B55:U55"/>
    <mergeCell ref="B54:D54"/>
    <mergeCell ref="T54:U54"/>
    <mergeCell ref="I8:Q8"/>
    <mergeCell ref="T12:U12"/>
    <mergeCell ref="F8:H8"/>
    <mergeCell ref="T17:U17"/>
    <mergeCell ref="J17:L17"/>
    <mergeCell ref="J38:L38"/>
    <mergeCell ref="J39:L39"/>
    <mergeCell ref="J40:L40"/>
    <mergeCell ref="J41:L41"/>
    <mergeCell ref="F41:I41"/>
    <mergeCell ref="F44:I44"/>
    <mergeCell ref="J44:L44"/>
    <mergeCell ref="F46:I46"/>
    <mergeCell ref="J46:L46"/>
    <mergeCell ref="M54:P54"/>
    <mergeCell ref="F54:I54"/>
    <mergeCell ref="J54:L54"/>
    <mergeCell ref="M10:P10"/>
    <mergeCell ref="M12:P12"/>
    <mergeCell ref="M13:P13"/>
    <mergeCell ref="M14:P14"/>
    <mergeCell ref="M46:P46"/>
    <mergeCell ref="M33:P33"/>
    <mergeCell ref="F16:I16"/>
    <mergeCell ref="F17:I17"/>
    <mergeCell ref="J12:L12"/>
    <mergeCell ref="J13:L13"/>
    <mergeCell ref="J14:L14"/>
    <mergeCell ref="J15:L15"/>
    <mergeCell ref="J16:L16"/>
    <mergeCell ref="F30:I30"/>
    <mergeCell ref="J30:L30"/>
    <mergeCell ref="M30:P30"/>
    <mergeCell ref="F43:I43"/>
    <mergeCell ref="J43:L43"/>
    <mergeCell ref="M43:P43"/>
    <mergeCell ref="F29:I29"/>
    <mergeCell ref="J29:L29"/>
    <mergeCell ref="M29:P29"/>
    <mergeCell ref="M32:P32"/>
    <mergeCell ref="J23:L23"/>
    <mergeCell ref="F18:I18"/>
    <mergeCell ref="J18:L18"/>
    <mergeCell ref="M18:P18"/>
    <mergeCell ref="M16:P16"/>
    <mergeCell ref="M17:P17"/>
    <mergeCell ref="M41:P41"/>
    <mergeCell ref="M44:P44"/>
    <mergeCell ref="M34:P34"/>
    <mergeCell ref="M11:P11"/>
    <mergeCell ref="F38:I38"/>
    <mergeCell ref="M38:P38"/>
    <mergeCell ref="T38:U38"/>
    <mergeCell ref="F39:I39"/>
    <mergeCell ref="M39:P39"/>
    <mergeCell ref="T39:U39"/>
    <mergeCell ref="F40:I40"/>
    <mergeCell ref="M40:P40"/>
    <mergeCell ref="T40:U40"/>
    <mergeCell ref="M42:P42"/>
    <mergeCell ref="T42:U42"/>
    <mergeCell ref="F22:I22"/>
    <mergeCell ref="J22:L22"/>
    <mergeCell ref="M22:P22"/>
    <mergeCell ref="T22:U22"/>
    <mergeCell ref="F23:I23"/>
    <mergeCell ref="T36:U36"/>
    <mergeCell ref="J37:L37"/>
    <mergeCell ref="M37:P37"/>
    <mergeCell ref="T46:U46"/>
    <mergeCell ref="F47:I47"/>
    <mergeCell ref="J47:L47"/>
    <mergeCell ref="T33:U33"/>
    <mergeCell ref="F34:I34"/>
    <mergeCell ref="J34:L34"/>
    <mergeCell ref="T26:U26"/>
    <mergeCell ref="F27:I27"/>
    <mergeCell ref="J27:L27"/>
    <mergeCell ref="M27:P27"/>
    <mergeCell ref="T27:U27"/>
    <mergeCell ref="F28:I28"/>
    <mergeCell ref="J28:L28"/>
    <mergeCell ref="M28:P28"/>
    <mergeCell ref="T28:U28"/>
    <mergeCell ref="T34:U34"/>
    <mergeCell ref="F35:I35"/>
    <mergeCell ref="J35:L35"/>
    <mergeCell ref="M35:P35"/>
    <mergeCell ref="T35:U35"/>
    <mergeCell ref="F33:I33"/>
    <mergeCell ref="J33:L33"/>
    <mergeCell ref="F37:I37"/>
    <mergeCell ref="M36:P36"/>
    <mergeCell ref="T37:U37"/>
    <mergeCell ref="F36:I36"/>
    <mergeCell ref="J36:L36"/>
    <mergeCell ref="F26:I26"/>
    <mergeCell ref="J26:L26"/>
    <mergeCell ref="M26:P26"/>
    <mergeCell ref="T30:U30"/>
    <mergeCell ref="F31:I31"/>
    <mergeCell ref="J31:L31"/>
    <mergeCell ref="M31:P31"/>
    <mergeCell ref="T31:U31"/>
    <mergeCell ref="F32:I32"/>
    <mergeCell ref="J32:L32"/>
    <mergeCell ref="T32:U32"/>
    <mergeCell ref="T29:U29"/>
    <mergeCell ref="T18:U18"/>
    <mergeCell ref="F19:I19"/>
    <mergeCell ref="J19:L19"/>
    <mergeCell ref="M19:P19"/>
    <mergeCell ref="T19:U19"/>
    <mergeCell ref="F20:I20"/>
    <mergeCell ref="J20:L20"/>
    <mergeCell ref="M20:P20"/>
    <mergeCell ref="T20:U20"/>
    <mergeCell ref="T23:U23"/>
    <mergeCell ref="F24:I24"/>
    <mergeCell ref="J24:L24"/>
    <mergeCell ref="M24:P24"/>
    <mergeCell ref="T24:U24"/>
    <mergeCell ref="F49:I49"/>
    <mergeCell ref="J49:L49"/>
    <mergeCell ref="M49:P49"/>
    <mergeCell ref="T49:U49"/>
    <mergeCell ref="F48:I48"/>
    <mergeCell ref="J48:L48"/>
    <mergeCell ref="M48:P48"/>
    <mergeCell ref="T48:U48"/>
    <mergeCell ref="T43:U43"/>
    <mergeCell ref="M47:P47"/>
    <mergeCell ref="T47:U47"/>
    <mergeCell ref="T44:U44"/>
    <mergeCell ref="F45:I45"/>
    <mergeCell ref="J45:L45"/>
    <mergeCell ref="M45:P45"/>
    <mergeCell ref="T45:U45"/>
    <mergeCell ref="T41:U41"/>
    <mergeCell ref="F42:I42"/>
    <mergeCell ref="J42:L42"/>
    <mergeCell ref="F53:I53"/>
    <mergeCell ref="J53:L53"/>
    <mergeCell ref="M53:P53"/>
    <mergeCell ref="F21:I21"/>
    <mergeCell ref="J21:L21"/>
    <mergeCell ref="M21:P21"/>
    <mergeCell ref="T21:U21"/>
    <mergeCell ref="F25:I25"/>
    <mergeCell ref="J25:L25"/>
    <mergeCell ref="M25:P25"/>
    <mergeCell ref="T25:U25"/>
    <mergeCell ref="F50:I50"/>
    <mergeCell ref="J50:L50"/>
    <mergeCell ref="M50:P50"/>
    <mergeCell ref="T50:U50"/>
    <mergeCell ref="F51:I51"/>
    <mergeCell ref="J51:L51"/>
    <mergeCell ref="M51:P51"/>
    <mergeCell ref="T51:U51"/>
    <mergeCell ref="F52:I52"/>
    <mergeCell ref="J52:L52"/>
    <mergeCell ref="M52:P52"/>
    <mergeCell ref="T52:U52"/>
    <mergeCell ref="M23:P23"/>
  </mergeCells>
  <phoneticPr fontId="1" type="noConversion"/>
  <pageMargins left="0.511811024" right="0.511811024" top="0.78740157499999996" bottom="0.78740157499999996" header="0.31496062000000002" footer="0.31496062000000002"/>
  <pageSetup paperSize="9" scale="7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582D-BDD1-45CD-9E0A-27A2AA2055D8}">
  <dimension ref="B1:V69"/>
  <sheetViews>
    <sheetView showGridLines="0" zoomScale="80" zoomScaleNormal="80" workbookViewId="0">
      <selection activeCell="S69" sqref="S69"/>
    </sheetView>
  </sheetViews>
  <sheetFormatPr defaultColWidth="8.7109375" defaultRowHeight="15" x14ac:dyDescent="0.25"/>
  <cols>
    <col min="1" max="1" width="3" style="6" customWidth="1"/>
    <col min="2" max="2" width="13.42578125" style="6" customWidth="1"/>
    <col min="3" max="3" width="9.42578125" style="6" customWidth="1"/>
    <col min="4" max="4" width="11.42578125" style="7" customWidth="1"/>
    <col min="5" max="5" width="28.28515625" style="7" customWidth="1"/>
    <col min="6" max="16" width="6.42578125" style="6" customWidth="1"/>
    <col min="17" max="17" width="14.42578125" style="6" customWidth="1"/>
    <col min="18" max="18" width="14.140625" style="6" customWidth="1"/>
    <col min="19" max="19" width="11.7109375" style="6" customWidth="1"/>
    <col min="20" max="20" width="13.42578125" style="6" customWidth="1"/>
    <col min="21" max="21" width="3.42578125" style="6" customWidth="1"/>
    <col min="22" max="22" width="2.42578125" style="6" customWidth="1"/>
    <col min="23" max="16384" width="8.7109375" style="6"/>
  </cols>
  <sheetData>
    <row r="1" spans="2:22" ht="11.25" customHeight="1" thickBot="1" x14ac:dyDescent="0.3"/>
    <row r="2" spans="2:22" ht="73.349999999999994" customHeight="1" thickBot="1" x14ac:dyDescent="0.35">
      <c r="B2" s="87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9"/>
      <c r="V2" s="35"/>
    </row>
    <row r="3" spans="2:22" ht="14.1" customHeight="1" x14ac:dyDescent="0.25">
      <c r="B3" s="8" t="s">
        <v>18</v>
      </c>
      <c r="C3" s="90"/>
      <c r="D3" s="91"/>
      <c r="E3" s="91"/>
      <c r="F3" s="91"/>
      <c r="G3" s="91"/>
      <c r="H3" s="92"/>
      <c r="I3" s="93" t="s">
        <v>7</v>
      </c>
      <c r="J3" s="94"/>
      <c r="K3" s="95"/>
      <c r="L3" s="95"/>
      <c r="M3" s="95"/>
      <c r="N3" s="95"/>
      <c r="O3" s="95"/>
      <c r="P3" s="95"/>
      <c r="Q3" s="95"/>
      <c r="R3" s="9" t="s">
        <v>2</v>
      </c>
      <c r="S3" s="96"/>
      <c r="T3" s="96"/>
      <c r="U3" s="97"/>
      <c r="V3" s="36"/>
    </row>
    <row r="4" spans="2:22" ht="14.1" customHeight="1" x14ac:dyDescent="0.25">
      <c r="B4" s="10" t="s">
        <v>3</v>
      </c>
      <c r="C4" s="77"/>
      <c r="D4" s="77"/>
      <c r="E4" s="77"/>
      <c r="F4" s="75" t="s">
        <v>19</v>
      </c>
      <c r="G4" s="76"/>
      <c r="H4" s="76"/>
      <c r="I4" s="98"/>
      <c r="J4" s="77"/>
      <c r="K4" s="77"/>
      <c r="L4" s="77"/>
      <c r="M4" s="77"/>
      <c r="N4" s="77"/>
      <c r="O4" s="77"/>
      <c r="P4" s="77"/>
      <c r="Q4" s="77"/>
      <c r="R4" s="11" t="s">
        <v>9</v>
      </c>
      <c r="S4" s="72"/>
      <c r="T4" s="73"/>
      <c r="U4" s="86"/>
      <c r="V4" s="37"/>
    </row>
    <row r="5" spans="2:22" ht="14.1" customHeight="1" x14ac:dyDescent="0.25">
      <c r="B5" s="10" t="s">
        <v>4</v>
      </c>
      <c r="C5" s="72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4"/>
      <c r="R5" s="11" t="s">
        <v>14</v>
      </c>
      <c r="S5" s="85"/>
      <c r="T5" s="73"/>
      <c r="U5" s="86"/>
      <c r="V5" s="37"/>
    </row>
    <row r="6" spans="2:22" ht="14.1" customHeight="1" x14ac:dyDescent="0.25">
      <c r="B6" s="10" t="s">
        <v>5</v>
      </c>
      <c r="C6" s="72"/>
      <c r="D6" s="73"/>
      <c r="E6" s="73"/>
      <c r="F6" s="11" t="s">
        <v>6</v>
      </c>
      <c r="G6" s="77"/>
      <c r="H6" s="77"/>
      <c r="I6" s="75" t="s">
        <v>12</v>
      </c>
      <c r="J6" s="76"/>
      <c r="K6" s="72"/>
      <c r="L6" s="73"/>
      <c r="M6" s="74"/>
      <c r="N6" s="12" t="s">
        <v>10</v>
      </c>
      <c r="O6" s="72"/>
      <c r="P6" s="73"/>
      <c r="Q6" s="73"/>
      <c r="R6" s="73"/>
      <c r="S6" s="73"/>
      <c r="T6" s="73"/>
      <c r="U6" s="86"/>
      <c r="V6" s="37"/>
    </row>
    <row r="7" spans="2:22" ht="14.1" customHeight="1" x14ac:dyDescent="0.25">
      <c r="B7" s="10" t="s">
        <v>11</v>
      </c>
      <c r="C7" s="12"/>
      <c r="D7" s="72"/>
      <c r="E7" s="73"/>
      <c r="F7" s="73"/>
      <c r="G7" s="73"/>
      <c r="H7" s="74"/>
      <c r="I7" s="75" t="s">
        <v>1</v>
      </c>
      <c r="J7" s="76"/>
      <c r="K7" s="76"/>
      <c r="L7" s="77"/>
      <c r="M7" s="77"/>
      <c r="N7" s="77"/>
      <c r="O7" s="77"/>
      <c r="P7" s="77"/>
      <c r="Q7" s="77"/>
      <c r="R7" s="77"/>
      <c r="S7" s="77"/>
      <c r="T7" s="77"/>
      <c r="U7" s="78"/>
      <c r="V7" s="37"/>
    </row>
    <row r="8" spans="2:22" ht="14.1" customHeight="1" x14ac:dyDescent="0.25">
      <c r="B8" s="79" t="s">
        <v>13</v>
      </c>
      <c r="C8" s="80"/>
      <c r="D8" s="72"/>
      <c r="E8" s="73"/>
      <c r="F8" s="75" t="s">
        <v>20</v>
      </c>
      <c r="G8" s="76"/>
      <c r="H8" s="76"/>
      <c r="I8" s="81" t="s">
        <v>48</v>
      </c>
      <c r="J8" s="81"/>
      <c r="K8" s="81"/>
      <c r="L8" s="81"/>
      <c r="M8" s="81"/>
      <c r="N8" s="81"/>
      <c r="O8" s="81"/>
      <c r="P8" s="81"/>
      <c r="Q8" s="81"/>
      <c r="R8" s="11" t="s">
        <v>8</v>
      </c>
      <c r="S8" s="82"/>
      <c r="T8" s="83"/>
      <c r="U8" s="84"/>
      <c r="V8" s="38"/>
    </row>
    <row r="9" spans="2:22" ht="28.35" customHeight="1" thickBot="1" x14ac:dyDescent="0.3">
      <c r="B9" s="28" t="s">
        <v>49</v>
      </c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4"/>
      <c r="V9" s="39"/>
    </row>
    <row r="10" spans="2:22" ht="22.35" customHeight="1" thickBot="1" x14ac:dyDescent="0.3">
      <c r="B10" s="13" t="s">
        <v>15</v>
      </c>
      <c r="C10" s="14" t="s">
        <v>16</v>
      </c>
      <c r="D10" s="3" t="s">
        <v>17</v>
      </c>
      <c r="E10" s="3" t="s">
        <v>26</v>
      </c>
      <c r="F10" s="65" t="s">
        <v>25</v>
      </c>
      <c r="G10" s="66"/>
      <c r="H10" s="66"/>
      <c r="I10" s="67"/>
      <c r="J10" s="68" t="s">
        <v>27</v>
      </c>
      <c r="K10" s="69"/>
      <c r="L10" s="70"/>
      <c r="M10" s="65" t="s">
        <v>29</v>
      </c>
      <c r="N10" s="66"/>
      <c r="O10" s="66"/>
      <c r="P10" s="67"/>
      <c r="Q10" s="14" t="s">
        <v>0</v>
      </c>
      <c r="R10" s="14" t="s">
        <v>21</v>
      </c>
      <c r="S10" s="15" t="s">
        <v>50</v>
      </c>
      <c r="T10" s="65" t="s">
        <v>22</v>
      </c>
      <c r="U10" s="71"/>
      <c r="V10" s="40"/>
    </row>
    <row r="11" spans="2:22" ht="3" customHeight="1" x14ac:dyDescent="0.25">
      <c r="B11" s="16"/>
      <c r="C11" s="1"/>
      <c r="D11" s="4"/>
      <c r="E11" s="4"/>
      <c r="F11" s="52"/>
      <c r="G11" s="53"/>
      <c r="H11" s="53"/>
      <c r="I11" s="54"/>
      <c r="J11" s="52"/>
      <c r="K11" s="53"/>
      <c r="L11" s="54"/>
      <c r="M11" s="52"/>
      <c r="N11" s="53"/>
      <c r="O11" s="53"/>
      <c r="P11" s="54"/>
      <c r="Q11" s="20"/>
      <c r="R11" s="2"/>
      <c r="S11" s="21"/>
      <c r="T11" s="58"/>
      <c r="U11" s="59"/>
      <c r="V11" s="41"/>
    </row>
    <row r="12" spans="2:22" ht="50.1" customHeight="1" x14ac:dyDescent="0.25">
      <c r="B12" s="16"/>
      <c r="C12" s="1" t="s">
        <v>120</v>
      </c>
      <c r="D12" s="4">
        <v>100</v>
      </c>
      <c r="E12" s="4" t="s">
        <v>121</v>
      </c>
      <c r="F12" s="52" t="s">
        <v>43</v>
      </c>
      <c r="G12" s="53"/>
      <c r="H12" s="53"/>
      <c r="I12" s="54"/>
      <c r="J12" s="55" t="s">
        <v>122</v>
      </c>
      <c r="K12" s="56"/>
      <c r="L12" s="57"/>
      <c r="M12" s="55" t="s">
        <v>37</v>
      </c>
      <c r="N12" s="56"/>
      <c r="O12" s="56"/>
      <c r="P12" s="57"/>
      <c r="Q12" s="20">
        <v>8.99</v>
      </c>
      <c r="R12" s="27">
        <v>24.99</v>
      </c>
      <c r="S12" s="21">
        <v>160</v>
      </c>
      <c r="T12" s="60">
        <f t="shared" ref="T12:T16" si="0">Q12*S12</f>
        <v>1438.4</v>
      </c>
      <c r="U12" s="61"/>
      <c r="V12" s="41"/>
    </row>
    <row r="13" spans="2:22" ht="50.1" customHeight="1" x14ac:dyDescent="0.25">
      <c r="B13" s="16"/>
      <c r="C13" s="1" t="s">
        <v>123</v>
      </c>
      <c r="D13" s="5">
        <v>600</v>
      </c>
      <c r="E13" s="4" t="s">
        <v>121</v>
      </c>
      <c r="F13" s="52" t="s">
        <v>124</v>
      </c>
      <c r="G13" s="53"/>
      <c r="H13" s="53"/>
      <c r="I13" s="54"/>
      <c r="J13" s="55" t="s">
        <v>122</v>
      </c>
      <c r="K13" s="56"/>
      <c r="L13" s="57"/>
      <c r="M13" s="55" t="s">
        <v>37</v>
      </c>
      <c r="N13" s="56"/>
      <c r="O13" s="56"/>
      <c r="P13" s="57"/>
      <c r="Q13" s="20">
        <v>8.99</v>
      </c>
      <c r="R13" s="27">
        <v>24.99</v>
      </c>
      <c r="S13" s="21">
        <v>90</v>
      </c>
      <c r="T13" s="58">
        <f t="shared" si="0"/>
        <v>809.1</v>
      </c>
      <c r="U13" s="59"/>
      <c r="V13" s="41"/>
    </row>
    <row r="14" spans="2:22" ht="50.1" customHeight="1" x14ac:dyDescent="0.25">
      <c r="B14" s="16"/>
      <c r="C14" s="1" t="s">
        <v>125</v>
      </c>
      <c r="D14" s="5" t="s">
        <v>126</v>
      </c>
      <c r="E14" s="4" t="s">
        <v>121</v>
      </c>
      <c r="F14" s="52" t="s">
        <v>107</v>
      </c>
      <c r="G14" s="53"/>
      <c r="H14" s="53"/>
      <c r="I14" s="54"/>
      <c r="J14" s="55" t="s">
        <v>122</v>
      </c>
      <c r="K14" s="56"/>
      <c r="L14" s="57"/>
      <c r="M14" s="55" t="s">
        <v>37</v>
      </c>
      <c r="N14" s="56"/>
      <c r="O14" s="56"/>
      <c r="P14" s="57"/>
      <c r="Q14" s="20">
        <v>8.99</v>
      </c>
      <c r="R14" s="27">
        <v>24.99</v>
      </c>
      <c r="S14" s="21">
        <v>0</v>
      </c>
      <c r="T14" s="58">
        <f t="shared" si="0"/>
        <v>0</v>
      </c>
      <c r="U14" s="59"/>
      <c r="V14" s="41"/>
    </row>
    <row r="15" spans="2:22" ht="50.1" customHeight="1" x14ac:dyDescent="0.25">
      <c r="B15" s="16"/>
      <c r="C15" s="1" t="s">
        <v>127</v>
      </c>
      <c r="D15" s="4">
        <v>400</v>
      </c>
      <c r="E15" s="4" t="s">
        <v>121</v>
      </c>
      <c r="F15" s="52" t="s">
        <v>128</v>
      </c>
      <c r="G15" s="53"/>
      <c r="H15" s="53"/>
      <c r="I15" s="54"/>
      <c r="J15" s="55" t="s">
        <v>122</v>
      </c>
      <c r="K15" s="56"/>
      <c r="L15" s="57"/>
      <c r="M15" s="55" t="s">
        <v>37</v>
      </c>
      <c r="N15" s="56"/>
      <c r="O15" s="56"/>
      <c r="P15" s="57"/>
      <c r="Q15" s="20">
        <v>8.99</v>
      </c>
      <c r="R15" s="27">
        <v>24.99</v>
      </c>
      <c r="S15" s="21">
        <v>0</v>
      </c>
      <c r="T15" s="58">
        <f t="shared" si="0"/>
        <v>0</v>
      </c>
      <c r="U15" s="59"/>
      <c r="V15" s="41"/>
    </row>
    <row r="16" spans="2:22" ht="50.1" customHeight="1" x14ac:dyDescent="0.25">
      <c r="B16" s="16"/>
      <c r="C16" s="1" t="s">
        <v>129</v>
      </c>
      <c r="D16" s="5" t="s">
        <v>23</v>
      </c>
      <c r="E16" s="4" t="s">
        <v>121</v>
      </c>
      <c r="F16" s="52" t="s">
        <v>45</v>
      </c>
      <c r="G16" s="53"/>
      <c r="H16" s="53"/>
      <c r="I16" s="54"/>
      <c r="J16" s="55" t="s">
        <v>122</v>
      </c>
      <c r="K16" s="56"/>
      <c r="L16" s="57"/>
      <c r="M16" s="55" t="s">
        <v>37</v>
      </c>
      <c r="N16" s="56"/>
      <c r="O16" s="56"/>
      <c r="P16" s="57"/>
      <c r="Q16" s="20">
        <v>8.99</v>
      </c>
      <c r="R16" s="27">
        <v>24.99</v>
      </c>
      <c r="S16" s="21">
        <v>0</v>
      </c>
      <c r="T16" s="58">
        <f t="shared" si="0"/>
        <v>0</v>
      </c>
      <c r="U16" s="59"/>
      <c r="V16" s="41"/>
    </row>
    <row r="17" spans="2:22" ht="3" customHeight="1" x14ac:dyDescent="0.25">
      <c r="B17" s="16"/>
      <c r="C17" s="1"/>
      <c r="D17" s="4"/>
      <c r="E17" s="4"/>
      <c r="F17" s="52"/>
      <c r="G17" s="53"/>
      <c r="H17" s="53"/>
      <c r="I17" s="54"/>
      <c r="J17" s="52"/>
      <c r="K17" s="53"/>
      <c r="L17" s="54"/>
      <c r="M17" s="52"/>
      <c r="N17" s="53"/>
      <c r="O17" s="53"/>
      <c r="P17" s="54"/>
      <c r="Q17" s="20"/>
      <c r="R17" s="26"/>
      <c r="S17" s="21"/>
      <c r="T17" s="58"/>
      <c r="U17" s="59"/>
      <c r="V17" s="41"/>
    </row>
    <row r="18" spans="2:22" ht="50.1" customHeight="1" x14ac:dyDescent="0.25">
      <c r="B18" s="16"/>
      <c r="C18" s="1" t="s">
        <v>130</v>
      </c>
      <c r="D18" s="5">
        <v>100</v>
      </c>
      <c r="E18" s="4" t="s">
        <v>121</v>
      </c>
      <c r="F18" s="52" t="s">
        <v>43</v>
      </c>
      <c r="G18" s="53"/>
      <c r="H18" s="53"/>
      <c r="I18" s="54"/>
      <c r="J18" s="55" t="s">
        <v>131</v>
      </c>
      <c r="K18" s="56"/>
      <c r="L18" s="57"/>
      <c r="M18" s="55" t="s">
        <v>37</v>
      </c>
      <c r="N18" s="56"/>
      <c r="O18" s="56"/>
      <c r="P18" s="57"/>
      <c r="Q18" s="20">
        <v>8.99</v>
      </c>
      <c r="R18" s="27">
        <v>24.99</v>
      </c>
      <c r="S18" s="21">
        <v>0</v>
      </c>
      <c r="T18" s="58">
        <f t="shared" ref="T18:T28" si="1">Q18*S18</f>
        <v>0</v>
      </c>
      <c r="U18" s="59"/>
      <c r="V18" s="41"/>
    </row>
    <row r="19" spans="2:22" ht="50.1" customHeight="1" x14ac:dyDescent="0.25">
      <c r="B19" s="16"/>
      <c r="C19" s="1" t="s">
        <v>132</v>
      </c>
      <c r="D19" s="4">
        <v>600</v>
      </c>
      <c r="E19" s="4" t="s">
        <v>121</v>
      </c>
      <c r="F19" s="52" t="s">
        <v>124</v>
      </c>
      <c r="G19" s="53"/>
      <c r="H19" s="53"/>
      <c r="I19" s="54"/>
      <c r="J19" s="55" t="s">
        <v>131</v>
      </c>
      <c r="K19" s="56"/>
      <c r="L19" s="57"/>
      <c r="M19" s="55" t="s">
        <v>37</v>
      </c>
      <c r="N19" s="56"/>
      <c r="O19" s="56"/>
      <c r="P19" s="57"/>
      <c r="Q19" s="20">
        <v>8.99</v>
      </c>
      <c r="R19" s="27">
        <v>24.99</v>
      </c>
      <c r="S19" s="21">
        <v>0</v>
      </c>
      <c r="T19" s="58">
        <f t="shared" si="1"/>
        <v>0</v>
      </c>
      <c r="U19" s="59"/>
      <c r="V19" s="41"/>
    </row>
    <row r="20" spans="2:22" ht="50.1" customHeight="1" x14ac:dyDescent="0.25">
      <c r="B20" s="16"/>
      <c r="C20" s="1" t="s">
        <v>133</v>
      </c>
      <c r="D20" s="5" t="s">
        <v>126</v>
      </c>
      <c r="E20" s="4" t="s">
        <v>121</v>
      </c>
      <c r="F20" s="52" t="s">
        <v>107</v>
      </c>
      <c r="G20" s="53"/>
      <c r="H20" s="53"/>
      <c r="I20" s="54"/>
      <c r="J20" s="55" t="s">
        <v>131</v>
      </c>
      <c r="K20" s="56"/>
      <c r="L20" s="57"/>
      <c r="M20" s="55" t="s">
        <v>37</v>
      </c>
      <c r="N20" s="56"/>
      <c r="O20" s="56"/>
      <c r="P20" s="57"/>
      <c r="Q20" s="20">
        <v>8.99</v>
      </c>
      <c r="R20" s="27">
        <v>24.99</v>
      </c>
      <c r="S20" s="21">
        <v>0</v>
      </c>
      <c r="T20" s="58">
        <f t="shared" si="1"/>
        <v>0</v>
      </c>
      <c r="U20" s="59"/>
      <c r="V20" s="41"/>
    </row>
    <row r="21" spans="2:22" ht="50.1" customHeight="1" x14ac:dyDescent="0.25">
      <c r="B21" s="16"/>
      <c r="C21" s="1" t="s">
        <v>134</v>
      </c>
      <c r="D21" s="4">
        <v>400</v>
      </c>
      <c r="E21" s="4" t="s">
        <v>121</v>
      </c>
      <c r="F21" s="52" t="s">
        <v>128</v>
      </c>
      <c r="G21" s="53"/>
      <c r="H21" s="53"/>
      <c r="I21" s="54"/>
      <c r="J21" s="55" t="s">
        <v>131</v>
      </c>
      <c r="K21" s="56"/>
      <c r="L21" s="57"/>
      <c r="M21" s="55" t="s">
        <v>37</v>
      </c>
      <c r="N21" s="56"/>
      <c r="O21" s="56"/>
      <c r="P21" s="57"/>
      <c r="Q21" s="20">
        <v>8.99</v>
      </c>
      <c r="R21" s="27">
        <v>24.99</v>
      </c>
      <c r="S21" s="21">
        <v>0</v>
      </c>
      <c r="T21" s="58">
        <f t="shared" si="1"/>
        <v>0</v>
      </c>
      <c r="U21" s="59"/>
      <c r="V21" s="41"/>
    </row>
    <row r="22" spans="2:22" ht="50.1" customHeight="1" x14ac:dyDescent="0.25">
      <c r="B22" s="16"/>
      <c r="C22" s="1" t="s">
        <v>135</v>
      </c>
      <c r="D22" s="4" t="s">
        <v>23</v>
      </c>
      <c r="E22" s="4" t="s">
        <v>121</v>
      </c>
      <c r="F22" s="52" t="s">
        <v>45</v>
      </c>
      <c r="G22" s="53"/>
      <c r="H22" s="53"/>
      <c r="I22" s="54"/>
      <c r="J22" s="55" t="s">
        <v>131</v>
      </c>
      <c r="K22" s="56"/>
      <c r="L22" s="57"/>
      <c r="M22" s="55" t="s">
        <v>37</v>
      </c>
      <c r="N22" s="56"/>
      <c r="O22" s="56"/>
      <c r="P22" s="57"/>
      <c r="Q22" s="20">
        <v>8.99</v>
      </c>
      <c r="R22" s="27">
        <v>24.99</v>
      </c>
      <c r="S22" s="21">
        <v>0</v>
      </c>
      <c r="T22" s="58">
        <f t="shared" si="1"/>
        <v>0</v>
      </c>
      <c r="U22" s="59"/>
      <c r="V22" s="41"/>
    </row>
    <row r="23" spans="2:22" ht="3" customHeight="1" x14ac:dyDescent="0.25">
      <c r="B23" s="16"/>
      <c r="C23" s="1"/>
      <c r="D23" s="4"/>
      <c r="E23" s="4"/>
      <c r="F23" s="52"/>
      <c r="G23" s="53"/>
      <c r="H23" s="53"/>
      <c r="I23" s="54"/>
      <c r="J23" s="52"/>
      <c r="K23" s="53"/>
      <c r="L23" s="54"/>
      <c r="M23" s="52"/>
      <c r="N23" s="53"/>
      <c r="O23" s="53"/>
      <c r="P23" s="54"/>
      <c r="Q23" s="20"/>
      <c r="R23" s="26"/>
      <c r="S23" s="21"/>
      <c r="T23" s="58"/>
      <c r="U23" s="59"/>
      <c r="V23" s="41"/>
    </row>
    <row r="24" spans="2:22" ht="50.1" customHeight="1" x14ac:dyDescent="0.25">
      <c r="B24" s="16"/>
      <c r="C24" s="1" t="s">
        <v>136</v>
      </c>
      <c r="D24" s="5">
        <v>100</v>
      </c>
      <c r="E24" s="4" t="s">
        <v>121</v>
      </c>
      <c r="F24" s="52" t="s">
        <v>43</v>
      </c>
      <c r="G24" s="53"/>
      <c r="H24" s="53"/>
      <c r="I24" s="54"/>
      <c r="J24" s="55" t="s">
        <v>137</v>
      </c>
      <c r="K24" s="56"/>
      <c r="L24" s="57"/>
      <c r="M24" s="55" t="s">
        <v>37</v>
      </c>
      <c r="N24" s="56"/>
      <c r="O24" s="56"/>
      <c r="P24" s="57"/>
      <c r="Q24" s="20">
        <v>8.99</v>
      </c>
      <c r="R24" s="27">
        <v>24.99</v>
      </c>
      <c r="S24" s="21">
        <v>0</v>
      </c>
      <c r="T24" s="58">
        <f t="shared" si="1"/>
        <v>0</v>
      </c>
      <c r="U24" s="59"/>
      <c r="V24" s="41"/>
    </row>
    <row r="25" spans="2:22" ht="50.1" customHeight="1" x14ac:dyDescent="0.25">
      <c r="B25" s="16"/>
      <c r="C25" s="1" t="s">
        <v>138</v>
      </c>
      <c r="D25" s="4">
        <v>600</v>
      </c>
      <c r="E25" s="4" t="s">
        <v>121</v>
      </c>
      <c r="F25" s="52" t="s">
        <v>124</v>
      </c>
      <c r="G25" s="53"/>
      <c r="H25" s="53"/>
      <c r="I25" s="54"/>
      <c r="J25" s="55" t="s">
        <v>137</v>
      </c>
      <c r="K25" s="56"/>
      <c r="L25" s="57"/>
      <c r="M25" s="55" t="s">
        <v>37</v>
      </c>
      <c r="N25" s="56"/>
      <c r="O25" s="56"/>
      <c r="P25" s="57"/>
      <c r="Q25" s="20">
        <v>8.99</v>
      </c>
      <c r="R25" s="27">
        <v>24.99</v>
      </c>
      <c r="S25" s="21">
        <v>0</v>
      </c>
      <c r="T25" s="58">
        <f t="shared" si="1"/>
        <v>0</v>
      </c>
      <c r="U25" s="59"/>
      <c r="V25" s="41"/>
    </row>
    <row r="26" spans="2:22" ht="50.1" customHeight="1" x14ac:dyDescent="0.25">
      <c r="B26" s="16"/>
      <c r="C26" s="1" t="s">
        <v>139</v>
      </c>
      <c r="D26" s="5" t="s">
        <v>126</v>
      </c>
      <c r="E26" s="4" t="s">
        <v>121</v>
      </c>
      <c r="F26" s="52" t="s">
        <v>107</v>
      </c>
      <c r="G26" s="53"/>
      <c r="H26" s="53"/>
      <c r="I26" s="54"/>
      <c r="J26" s="55" t="s">
        <v>137</v>
      </c>
      <c r="K26" s="56"/>
      <c r="L26" s="57"/>
      <c r="M26" s="55" t="s">
        <v>37</v>
      </c>
      <c r="N26" s="56"/>
      <c r="O26" s="56"/>
      <c r="P26" s="57"/>
      <c r="Q26" s="20">
        <v>8.99</v>
      </c>
      <c r="R26" s="27">
        <v>24.99</v>
      </c>
      <c r="S26" s="21">
        <v>0</v>
      </c>
      <c r="T26" s="58">
        <f t="shared" si="1"/>
        <v>0</v>
      </c>
      <c r="U26" s="59"/>
      <c r="V26" s="41"/>
    </row>
    <row r="27" spans="2:22" ht="50.1" customHeight="1" x14ac:dyDescent="0.25">
      <c r="B27" s="16"/>
      <c r="C27" s="1" t="s">
        <v>140</v>
      </c>
      <c r="D27" s="5">
        <v>400</v>
      </c>
      <c r="E27" s="4" t="s">
        <v>121</v>
      </c>
      <c r="F27" s="52" t="s">
        <v>128</v>
      </c>
      <c r="G27" s="53"/>
      <c r="H27" s="53"/>
      <c r="I27" s="54"/>
      <c r="J27" s="55" t="s">
        <v>137</v>
      </c>
      <c r="K27" s="56"/>
      <c r="L27" s="57"/>
      <c r="M27" s="55" t="s">
        <v>37</v>
      </c>
      <c r="N27" s="56"/>
      <c r="O27" s="56"/>
      <c r="P27" s="57"/>
      <c r="Q27" s="20">
        <v>8.99</v>
      </c>
      <c r="R27" s="27">
        <v>24.99</v>
      </c>
      <c r="S27" s="21">
        <v>0</v>
      </c>
      <c r="T27" s="58">
        <f t="shared" si="1"/>
        <v>0</v>
      </c>
      <c r="U27" s="59"/>
      <c r="V27" s="41"/>
    </row>
    <row r="28" spans="2:22" ht="50.1" customHeight="1" x14ac:dyDescent="0.25">
      <c r="B28" s="16"/>
      <c r="C28" s="1" t="s">
        <v>141</v>
      </c>
      <c r="D28" s="5" t="s">
        <v>23</v>
      </c>
      <c r="E28" s="4" t="s">
        <v>121</v>
      </c>
      <c r="F28" s="52" t="s">
        <v>45</v>
      </c>
      <c r="G28" s="53"/>
      <c r="H28" s="53"/>
      <c r="I28" s="54"/>
      <c r="J28" s="55" t="s">
        <v>137</v>
      </c>
      <c r="K28" s="56"/>
      <c r="L28" s="57"/>
      <c r="M28" s="55" t="s">
        <v>37</v>
      </c>
      <c r="N28" s="56"/>
      <c r="O28" s="56"/>
      <c r="P28" s="57"/>
      <c r="Q28" s="20">
        <v>8.99</v>
      </c>
      <c r="R28" s="27">
        <v>24.99</v>
      </c>
      <c r="S28" s="21">
        <v>0</v>
      </c>
      <c r="T28" s="58">
        <f t="shared" si="1"/>
        <v>0</v>
      </c>
      <c r="U28" s="59"/>
      <c r="V28" s="41"/>
    </row>
    <row r="29" spans="2:22" ht="3" customHeight="1" x14ac:dyDescent="0.25">
      <c r="B29" s="16"/>
      <c r="C29" s="1"/>
      <c r="D29" s="4"/>
      <c r="E29" s="4"/>
      <c r="F29" s="52"/>
      <c r="G29" s="53"/>
      <c r="H29" s="53"/>
      <c r="I29" s="54"/>
      <c r="J29" s="52"/>
      <c r="K29" s="53"/>
      <c r="L29" s="54"/>
      <c r="M29" s="52"/>
      <c r="N29" s="53"/>
      <c r="O29" s="53"/>
      <c r="P29" s="54"/>
      <c r="Q29" s="20"/>
      <c r="R29" s="26"/>
      <c r="S29" s="21"/>
      <c r="T29" s="58"/>
      <c r="U29" s="59"/>
      <c r="V29" s="41"/>
    </row>
    <row r="30" spans="2:22" ht="50.1" customHeight="1" x14ac:dyDescent="0.25">
      <c r="B30" s="22"/>
      <c r="C30" s="1" t="s">
        <v>142</v>
      </c>
      <c r="D30" s="5">
        <v>100</v>
      </c>
      <c r="E30" s="4" t="s">
        <v>40</v>
      </c>
      <c r="F30" s="52" t="s">
        <v>43</v>
      </c>
      <c r="G30" s="53"/>
      <c r="H30" s="53"/>
      <c r="I30" s="54"/>
      <c r="J30" s="55" t="s">
        <v>122</v>
      </c>
      <c r="K30" s="56"/>
      <c r="L30" s="57"/>
      <c r="M30" s="55" t="s">
        <v>37</v>
      </c>
      <c r="N30" s="56"/>
      <c r="O30" s="56"/>
      <c r="P30" s="57"/>
      <c r="Q30" s="29">
        <v>9.19</v>
      </c>
      <c r="R30" s="25">
        <v>24.99</v>
      </c>
      <c r="S30" s="21">
        <v>180</v>
      </c>
      <c r="T30" s="58">
        <f t="shared" ref="T30:T64" si="2">Q30*S30</f>
        <v>1654.1999999999998</v>
      </c>
      <c r="U30" s="59"/>
      <c r="V30" s="41"/>
    </row>
    <row r="31" spans="2:22" ht="50.1" customHeight="1" x14ac:dyDescent="0.25">
      <c r="B31" s="16"/>
      <c r="C31" s="1" t="s">
        <v>143</v>
      </c>
      <c r="D31" s="4">
        <v>600</v>
      </c>
      <c r="E31" s="4" t="s">
        <v>40</v>
      </c>
      <c r="F31" s="52" t="s">
        <v>124</v>
      </c>
      <c r="G31" s="53"/>
      <c r="H31" s="53"/>
      <c r="I31" s="54"/>
      <c r="J31" s="55" t="s">
        <v>122</v>
      </c>
      <c r="K31" s="56"/>
      <c r="L31" s="57"/>
      <c r="M31" s="55" t="s">
        <v>37</v>
      </c>
      <c r="N31" s="56"/>
      <c r="O31" s="56"/>
      <c r="P31" s="57"/>
      <c r="Q31" s="29">
        <v>9.19</v>
      </c>
      <c r="R31" s="25">
        <v>24.99</v>
      </c>
      <c r="S31" s="21">
        <v>180</v>
      </c>
      <c r="T31" s="58">
        <f t="shared" si="2"/>
        <v>1654.1999999999998</v>
      </c>
      <c r="U31" s="59"/>
      <c r="V31" s="41"/>
    </row>
    <row r="32" spans="2:22" ht="50.1" customHeight="1" x14ac:dyDescent="0.25">
      <c r="B32" s="16"/>
      <c r="C32" s="1" t="s">
        <v>144</v>
      </c>
      <c r="D32" s="5" t="s">
        <v>126</v>
      </c>
      <c r="E32" s="4" t="s">
        <v>40</v>
      </c>
      <c r="F32" s="52" t="s">
        <v>107</v>
      </c>
      <c r="G32" s="53"/>
      <c r="H32" s="53"/>
      <c r="I32" s="54"/>
      <c r="J32" s="55" t="s">
        <v>122</v>
      </c>
      <c r="K32" s="56"/>
      <c r="L32" s="57"/>
      <c r="M32" s="55" t="s">
        <v>37</v>
      </c>
      <c r="N32" s="56"/>
      <c r="O32" s="56"/>
      <c r="P32" s="57"/>
      <c r="Q32" s="29">
        <v>9.19</v>
      </c>
      <c r="R32" s="25">
        <v>24.99</v>
      </c>
      <c r="S32" s="21">
        <v>0</v>
      </c>
      <c r="T32" s="58">
        <f t="shared" si="2"/>
        <v>0</v>
      </c>
      <c r="U32" s="59"/>
      <c r="V32" s="41"/>
    </row>
    <row r="33" spans="2:22" ht="50.1" customHeight="1" x14ac:dyDescent="0.25">
      <c r="B33" s="16"/>
      <c r="C33" s="1" t="s">
        <v>145</v>
      </c>
      <c r="D33" s="5">
        <v>400</v>
      </c>
      <c r="E33" s="4" t="s">
        <v>40</v>
      </c>
      <c r="F33" s="52" t="s">
        <v>128</v>
      </c>
      <c r="G33" s="53"/>
      <c r="H33" s="53"/>
      <c r="I33" s="54"/>
      <c r="J33" s="55" t="s">
        <v>122</v>
      </c>
      <c r="K33" s="56"/>
      <c r="L33" s="57"/>
      <c r="M33" s="55" t="s">
        <v>37</v>
      </c>
      <c r="N33" s="56"/>
      <c r="O33" s="56"/>
      <c r="P33" s="57"/>
      <c r="Q33" s="29">
        <v>9.19</v>
      </c>
      <c r="R33" s="25">
        <v>24.99</v>
      </c>
      <c r="S33" s="21">
        <v>0</v>
      </c>
      <c r="T33" s="58">
        <f t="shared" si="2"/>
        <v>0</v>
      </c>
      <c r="U33" s="59"/>
      <c r="V33" s="41"/>
    </row>
    <row r="34" spans="2:22" ht="50.1" customHeight="1" x14ac:dyDescent="0.25">
      <c r="B34" s="16"/>
      <c r="C34" s="1" t="s">
        <v>146</v>
      </c>
      <c r="D34" s="5" t="s">
        <v>23</v>
      </c>
      <c r="E34" s="4" t="s">
        <v>40</v>
      </c>
      <c r="F34" s="52" t="s">
        <v>45</v>
      </c>
      <c r="G34" s="53"/>
      <c r="H34" s="53"/>
      <c r="I34" s="54"/>
      <c r="J34" s="55" t="s">
        <v>122</v>
      </c>
      <c r="K34" s="56"/>
      <c r="L34" s="57"/>
      <c r="M34" s="55" t="s">
        <v>37</v>
      </c>
      <c r="N34" s="56"/>
      <c r="O34" s="56"/>
      <c r="P34" s="57"/>
      <c r="Q34" s="29">
        <v>9.19</v>
      </c>
      <c r="R34" s="25">
        <v>24.99</v>
      </c>
      <c r="S34" s="21">
        <v>0</v>
      </c>
      <c r="T34" s="58">
        <f t="shared" si="2"/>
        <v>0</v>
      </c>
      <c r="U34" s="59"/>
      <c r="V34" s="41"/>
    </row>
    <row r="35" spans="2:22" ht="3" customHeight="1" x14ac:dyDescent="0.25">
      <c r="B35" s="16"/>
      <c r="C35" s="1"/>
      <c r="D35" s="4"/>
      <c r="E35" s="4"/>
      <c r="F35" s="52"/>
      <c r="G35" s="53"/>
      <c r="H35" s="53"/>
      <c r="I35" s="54"/>
      <c r="J35" s="52"/>
      <c r="K35" s="53"/>
      <c r="L35" s="54"/>
      <c r="M35" s="52"/>
      <c r="N35" s="53"/>
      <c r="O35" s="53"/>
      <c r="P35" s="54"/>
      <c r="Q35" s="20"/>
      <c r="R35" s="26"/>
      <c r="S35" s="21"/>
      <c r="T35" s="58"/>
      <c r="U35" s="59"/>
      <c r="V35" s="41"/>
    </row>
    <row r="36" spans="2:22" ht="50.1" customHeight="1" x14ac:dyDescent="0.25">
      <c r="B36" s="16"/>
      <c r="C36" s="1" t="s">
        <v>147</v>
      </c>
      <c r="D36" s="5">
        <v>100</v>
      </c>
      <c r="E36" s="4" t="s">
        <v>40</v>
      </c>
      <c r="F36" s="52" t="s">
        <v>43</v>
      </c>
      <c r="G36" s="53"/>
      <c r="H36" s="53"/>
      <c r="I36" s="54"/>
      <c r="J36" s="55" t="s">
        <v>131</v>
      </c>
      <c r="K36" s="56"/>
      <c r="L36" s="57"/>
      <c r="M36" s="55" t="s">
        <v>37</v>
      </c>
      <c r="N36" s="56"/>
      <c r="O36" s="56"/>
      <c r="P36" s="57"/>
      <c r="Q36" s="29">
        <v>9.19</v>
      </c>
      <c r="R36" s="25">
        <v>24.99</v>
      </c>
      <c r="S36" s="21">
        <v>180</v>
      </c>
      <c r="T36" s="58">
        <f t="shared" si="2"/>
        <v>1654.1999999999998</v>
      </c>
      <c r="U36" s="59"/>
      <c r="V36" s="41"/>
    </row>
    <row r="37" spans="2:22" ht="50.1" customHeight="1" x14ac:dyDescent="0.25">
      <c r="B37" s="16"/>
      <c r="C37" s="1" t="s">
        <v>148</v>
      </c>
      <c r="D37" s="4">
        <v>600</v>
      </c>
      <c r="E37" s="4" t="s">
        <v>40</v>
      </c>
      <c r="F37" s="52" t="s">
        <v>124</v>
      </c>
      <c r="G37" s="53"/>
      <c r="H37" s="53"/>
      <c r="I37" s="54"/>
      <c r="J37" s="55" t="s">
        <v>131</v>
      </c>
      <c r="K37" s="56"/>
      <c r="L37" s="57"/>
      <c r="M37" s="55" t="s">
        <v>37</v>
      </c>
      <c r="N37" s="56"/>
      <c r="O37" s="56"/>
      <c r="P37" s="57"/>
      <c r="Q37" s="29">
        <v>9.19</v>
      </c>
      <c r="R37" s="25">
        <v>24.99</v>
      </c>
      <c r="S37" s="21">
        <v>160</v>
      </c>
      <c r="T37" s="58">
        <f t="shared" si="2"/>
        <v>1470.3999999999999</v>
      </c>
      <c r="U37" s="59"/>
      <c r="V37" s="41"/>
    </row>
    <row r="38" spans="2:22" ht="50.1" customHeight="1" x14ac:dyDescent="0.25">
      <c r="B38" s="16"/>
      <c r="C38" s="1" t="s">
        <v>149</v>
      </c>
      <c r="D38" s="5" t="s">
        <v>126</v>
      </c>
      <c r="E38" s="4" t="s">
        <v>40</v>
      </c>
      <c r="F38" s="52" t="s">
        <v>107</v>
      </c>
      <c r="G38" s="53"/>
      <c r="H38" s="53"/>
      <c r="I38" s="54"/>
      <c r="J38" s="55" t="s">
        <v>131</v>
      </c>
      <c r="K38" s="56"/>
      <c r="L38" s="57"/>
      <c r="M38" s="55" t="s">
        <v>37</v>
      </c>
      <c r="N38" s="56"/>
      <c r="O38" s="56"/>
      <c r="P38" s="57"/>
      <c r="Q38" s="29">
        <v>9.19</v>
      </c>
      <c r="R38" s="25">
        <v>24.99</v>
      </c>
      <c r="S38" s="21">
        <v>0</v>
      </c>
      <c r="T38" s="58">
        <f t="shared" si="2"/>
        <v>0</v>
      </c>
      <c r="U38" s="59"/>
      <c r="V38" s="41"/>
    </row>
    <row r="39" spans="2:22" ht="50.1" customHeight="1" x14ac:dyDescent="0.25">
      <c r="B39" s="16"/>
      <c r="C39" s="1" t="s">
        <v>150</v>
      </c>
      <c r="D39" s="5">
        <v>400</v>
      </c>
      <c r="E39" s="4" t="s">
        <v>40</v>
      </c>
      <c r="F39" s="52" t="s">
        <v>128</v>
      </c>
      <c r="G39" s="53"/>
      <c r="H39" s="53"/>
      <c r="I39" s="54"/>
      <c r="J39" s="55" t="s">
        <v>131</v>
      </c>
      <c r="K39" s="56"/>
      <c r="L39" s="57"/>
      <c r="M39" s="55" t="s">
        <v>37</v>
      </c>
      <c r="N39" s="56"/>
      <c r="O39" s="56"/>
      <c r="P39" s="57"/>
      <c r="Q39" s="29">
        <v>9.19</v>
      </c>
      <c r="R39" s="25">
        <v>24.99</v>
      </c>
      <c r="S39" s="21">
        <v>0</v>
      </c>
      <c r="T39" s="58">
        <f t="shared" si="2"/>
        <v>0</v>
      </c>
      <c r="U39" s="59"/>
      <c r="V39" s="41"/>
    </row>
    <row r="40" spans="2:22" ht="50.1" customHeight="1" x14ac:dyDescent="0.25">
      <c r="B40" s="16"/>
      <c r="C40" s="1" t="s">
        <v>151</v>
      </c>
      <c r="D40" s="5" t="s">
        <v>23</v>
      </c>
      <c r="E40" s="4" t="s">
        <v>40</v>
      </c>
      <c r="F40" s="52" t="s">
        <v>45</v>
      </c>
      <c r="G40" s="53"/>
      <c r="H40" s="53"/>
      <c r="I40" s="54"/>
      <c r="J40" s="55" t="s">
        <v>131</v>
      </c>
      <c r="K40" s="56"/>
      <c r="L40" s="57"/>
      <c r="M40" s="55" t="s">
        <v>37</v>
      </c>
      <c r="N40" s="56"/>
      <c r="O40" s="56"/>
      <c r="P40" s="57"/>
      <c r="Q40" s="29">
        <v>9.19</v>
      </c>
      <c r="R40" s="25">
        <v>24.99</v>
      </c>
      <c r="S40" s="21">
        <v>160</v>
      </c>
      <c r="T40" s="58">
        <f t="shared" si="2"/>
        <v>1470.3999999999999</v>
      </c>
      <c r="U40" s="59"/>
      <c r="V40" s="41"/>
    </row>
    <row r="41" spans="2:22" ht="3" customHeight="1" x14ac:dyDescent="0.25">
      <c r="B41" s="16"/>
      <c r="C41" s="1"/>
      <c r="D41" s="4"/>
      <c r="E41" s="4"/>
      <c r="F41" s="52"/>
      <c r="G41" s="53"/>
      <c r="H41" s="53"/>
      <c r="I41" s="54"/>
      <c r="J41" s="52"/>
      <c r="K41" s="53"/>
      <c r="L41" s="54"/>
      <c r="M41" s="52"/>
      <c r="N41" s="53"/>
      <c r="O41" s="53"/>
      <c r="P41" s="54"/>
      <c r="Q41" s="20"/>
      <c r="R41" s="26"/>
      <c r="S41" s="21"/>
      <c r="T41" s="58"/>
      <c r="U41" s="59"/>
      <c r="V41" s="41"/>
    </row>
    <row r="42" spans="2:22" ht="50.1" customHeight="1" x14ac:dyDescent="0.25">
      <c r="B42" s="16"/>
      <c r="C42" s="1" t="s">
        <v>152</v>
      </c>
      <c r="D42" s="5">
        <v>100</v>
      </c>
      <c r="E42" s="4" t="s">
        <v>40</v>
      </c>
      <c r="F42" s="52" t="s">
        <v>43</v>
      </c>
      <c r="G42" s="53"/>
      <c r="H42" s="53"/>
      <c r="I42" s="54"/>
      <c r="J42" s="55" t="s">
        <v>137</v>
      </c>
      <c r="K42" s="56"/>
      <c r="L42" s="57"/>
      <c r="M42" s="55" t="s">
        <v>37</v>
      </c>
      <c r="N42" s="56"/>
      <c r="O42" s="56"/>
      <c r="P42" s="57"/>
      <c r="Q42" s="29">
        <v>9.19</v>
      </c>
      <c r="R42" s="25">
        <v>24.99</v>
      </c>
      <c r="S42" s="21">
        <v>180</v>
      </c>
      <c r="T42" s="58">
        <f t="shared" si="2"/>
        <v>1654.1999999999998</v>
      </c>
      <c r="U42" s="59"/>
      <c r="V42" s="41"/>
    </row>
    <row r="43" spans="2:22" ht="50.1" customHeight="1" x14ac:dyDescent="0.25">
      <c r="B43" s="16"/>
      <c r="C43" s="1" t="s">
        <v>153</v>
      </c>
      <c r="D43" s="4">
        <v>600</v>
      </c>
      <c r="E43" s="4" t="s">
        <v>40</v>
      </c>
      <c r="F43" s="52" t="s">
        <v>124</v>
      </c>
      <c r="G43" s="53"/>
      <c r="H43" s="53"/>
      <c r="I43" s="54"/>
      <c r="J43" s="55" t="s">
        <v>137</v>
      </c>
      <c r="K43" s="56"/>
      <c r="L43" s="57"/>
      <c r="M43" s="55" t="s">
        <v>37</v>
      </c>
      <c r="N43" s="56"/>
      <c r="O43" s="56"/>
      <c r="P43" s="57"/>
      <c r="Q43" s="29">
        <v>9.19</v>
      </c>
      <c r="R43" s="25">
        <v>24.99</v>
      </c>
      <c r="S43" s="21">
        <v>180</v>
      </c>
      <c r="T43" s="58">
        <f t="shared" si="2"/>
        <v>1654.1999999999998</v>
      </c>
      <c r="U43" s="59"/>
      <c r="V43" s="41"/>
    </row>
    <row r="44" spans="2:22" ht="50.1" customHeight="1" x14ac:dyDescent="0.25">
      <c r="B44" s="16"/>
      <c r="C44" s="1" t="s">
        <v>154</v>
      </c>
      <c r="D44" s="5" t="s">
        <v>126</v>
      </c>
      <c r="E44" s="4" t="s">
        <v>40</v>
      </c>
      <c r="F44" s="52" t="s">
        <v>107</v>
      </c>
      <c r="G44" s="53"/>
      <c r="H44" s="53"/>
      <c r="I44" s="54"/>
      <c r="J44" s="55" t="s">
        <v>137</v>
      </c>
      <c r="K44" s="56"/>
      <c r="L44" s="57"/>
      <c r="M44" s="55" t="s">
        <v>37</v>
      </c>
      <c r="N44" s="56"/>
      <c r="O44" s="56"/>
      <c r="P44" s="57"/>
      <c r="Q44" s="29">
        <v>9.19</v>
      </c>
      <c r="R44" s="25">
        <v>24.99</v>
      </c>
      <c r="S44" s="21">
        <v>0</v>
      </c>
      <c r="T44" s="58">
        <f t="shared" si="2"/>
        <v>0</v>
      </c>
      <c r="U44" s="59"/>
      <c r="V44" s="41"/>
    </row>
    <row r="45" spans="2:22" ht="50.1" customHeight="1" x14ac:dyDescent="0.25">
      <c r="B45" s="16"/>
      <c r="C45" s="1" t="s">
        <v>155</v>
      </c>
      <c r="D45" s="5">
        <v>400</v>
      </c>
      <c r="E45" s="4" t="s">
        <v>40</v>
      </c>
      <c r="F45" s="52" t="s">
        <v>128</v>
      </c>
      <c r="G45" s="53"/>
      <c r="H45" s="53"/>
      <c r="I45" s="54"/>
      <c r="J45" s="55" t="s">
        <v>137</v>
      </c>
      <c r="K45" s="56"/>
      <c r="L45" s="57"/>
      <c r="M45" s="55" t="s">
        <v>37</v>
      </c>
      <c r="N45" s="56"/>
      <c r="O45" s="56"/>
      <c r="P45" s="57"/>
      <c r="Q45" s="29">
        <v>9.19</v>
      </c>
      <c r="R45" s="25">
        <v>24.99</v>
      </c>
      <c r="S45" s="21">
        <v>0</v>
      </c>
      <c r="T45" s="58">
        <f t="shared" si="2"/>
        <v>0</v>
      </c>
      <c r="U45" s="59"/>
      <c r="V45" s="41"/>
    </row>
    <row r="46" spans="2:22" ht="50.1" customHeight="1" x14ac:dyDescent="0.25">
      <c r="B46" s="16"/>
      <c r="C46" s="1" t="s">
        <v>156</v>
      </c>
      <c r="D46" s="5" t="s">
        <v>23</v>
      </c>
      <c r="E46" s="4" t="s">
        <v>40</v>
      </c>
      <c r="F46" s="52" t="s">
        <v>45</v>
      </c>
      <c r="G46" s="53"/>
      <c r="H46" s="53"/>
      <c r="I46" s="54"/>
      <c r="J46" s="55" t="s">
        <v>137</v>
      </c>
      <c r="K46" s="56"/>
      <c r="L46" s="57"/>
      <c r="M46" s="55" t="s">
        <v>37</v>
      </c>
      <c r="N46" s="56"/>
      <c r="O46" s="56"/>
      <c r="P46" s="57"/>
      <c r="Q46" s="29">
        <v>9.19</v>
      </c>
      <c r="R46" s="25">
        <v>24.99</v>
      </c>
      <c r="S46" s="21">
        <v>160</v>
      </c>
      <c r="T46" s="58">
        <f t="shared" si="2"/>
        <v>1470.3999999999999</v>
      </c>
      <c r="U46" s="59"/>
      <c r="V46" s="41"/>
    </row>
    <row r="47" spans="2:22" ht="3" customHeight="1" x14ac:dyDescent="0.25">
      <c r="B47" s="16"/>
      <c r="C47" s="1"/>
      <c r="D47" s="4"/>
      <c r="E47" s="4"/>
      <c r="F47" s="52"/>
      <c r="G47" s="53"/>
      <c r="H47" s="53"/>
      <c r="I47" s="54"/>
      <c r="J47" s="52"/>
      <c r="K47" s="53"/>
      <c r="L47" s="54"/>
      <c r="M47" s="52"/>
      <c r="N47" s="53"/>
      <c r="O47" s="53"/>
      <c r="P47" s="54"/>
      <c r="Q47" s="20"/>
      <c r="R47" s="26"/>
      <c r="S47" s="21"/>
      <c r="T47" s="58"/>
      <c r="U47" s="59"/>
      <c r="V47" s="41"/>
    </row>
    <row r="48" spans="2:22" ht="50.1" customHeight="1" x14ac:dyDescent="0.25">
      <c r="B48" s="16"/>
      <c r="C48" s="1" t="s">
        <v>157</v>
      </c>
      <c r="D48" s="5">
        <v>100</v>
      </c>
      <c r="E48" s="4" t="s">
        <v>41</v>
      </c>
      <c r="F48" s="52" t="s">
        <v>43</v>
      </c>
      <c r="G48" s="53"/>
      <c r="H48" s="53"/>
      <c r="I48" s="54"/>
      <c r="J48" s="55" t="s">
        <v>122</v>
      </c>
      <c r="K48" s="56"/>
      <c r="L48" s="57"/>
      <c r="M48" s="55" t="s">
        <v>37</v>
      </c>
      <c r="N48" s="56"/>
      <c r="O48" s="56"/>
      <c r="P48" s="57"/>
      <c r="Q48" s="29">
        <v>9.39</v>
      </c>
      <c r="R48" s="25">
        <v>24.99</v>
      </c>
      <c r="S48" s="21">
        <v>180</v>
      </c>
      <c r="T48" s="58">
        <f t="shared" si="2"/>
        <v>1690.2</v>
      </c>
      <c r="U48" s="59"/>
      <c r="V48" s="41"/>
    </row>
    <row r="49" spans="2:22" ht="50.1" customHeight="1" x14ac:dyDescent="0.25">
      <c r="B49" s="16"/>
      <c r="C49" s="1" t="s">
        <v>158</v>
      </c>
      <c r="D49" s="4">
        <v>600</v>
      </c>
      <c r="E49" s="4" t="s">
        <v>41</v>
      </c>
      <c r="F49" s="52" t="s">
        <v>124</v>
      </c>
      <c r="G49" s="53"/>
      <c r="H49" s="53"/>
      <c r="I49" s="54"/>
      <c r="J49" s="55" t="s">
        <v>122</v>
      </c>
      <c r="K49" s="56"/>
      <c r="L49" s="57"/>
      <c r="M49" s="55" t="s">
        <v>37</v>
      </c>
      <c r="N49" s="56"/>
      <c r="O49" s="56"/>
      <c r="P49" s="57"/>
      <c r="Q49" s="29">
        <v>9.39</v>
      </c>
      <c r="R49" s="25">
        <v>24.99</v>
      </c>
      <c r="S49" s="21">
        <v>100</v>
      </c>
      <c r="T49" s="58">
        <f t="shared" si="2"/>
        <v>939</v>
      </c>
      <c r="U49" s="59"/>
      <c r="V49" s="41"/>
    </row>
    <row r="50" spans="2:22" ht="50.1" customHeight="1" x14ac:dyDescent="0.25">
      <c r="B50" s="16"/>
      <c r="C50" s="1" t="s">
        <v>159</v>
      </c>
      <c r="D50" s="5" t="s">
        <v>126</v>
      </c>
      <c r="E50" s="4" t="s">
        <v>41</v>
      </c>
      <c r="F50" s="52" t="s">
        <v>107</v>
      </c>
      <c r="G50" s="53"/>
      <c r="H50" s="53"/>
      <c r="I50" s="54"/>
      <c r="J50" s="55" t="s">
        <v>122</v>
      </c>
      <c r="K50" s="56"/>
      <c r="L50" s="57"/>
      <c r="M50" s="55" t="s">
        <v>37</v>
      </c>
      <c r="N50" s="56"/>
      <c r="O50" s="56"/>
      <c r="P50" s="57"/>
      <c r="Q50" s="29">
        <v>9.39</v>
      </c>
      <c r="R50" s="25">
        <v>24.99</v>
      </c>
      <c r="S50" s="21">
        <v>0</v>
      </c>
      <c r="T50" s="58">
        <f t="shared" si="2"/>
        <v>0</v>
      </c>
      <c r="U50" s="59"/>
      <c r="V50" s="41"/>
    </row>
    <row r="51" spans="2:22" ht="50.1" customHeight="1" x14ac:dyDescent="0.25">
      <c r="B51" s="16"/>
      <c r="C51" s="1" t="s">
        <v>160</v>
      </c>
      <c r="D51" s="5">
        <v>400</v>
      </c>
      <c r="E51" s="4" t="s">
        <v>41</v>
      </c>
      <c r="F51" s="52" t="s">
        <v>128</v>
      </c>
      <c r="G51" s="53"/>
      <c r="H51" s="53"/>
      <c r="I51" s="54"/>
      <c r="J51" s="55" t="s">
        <v>122</v>
      </c>
      <c r="K51" s="56"/>
      <c r="L51" s="57"/>
      <c r="M51" s="55" t="s">
        <v>37</v>
      </c>
      <c r="N51" s="56"/>
      <c r="O51" s="56"/>
      <c r="P51" s="57"/>
      <c r="Q51" s="29">
        <v>9.39</v>
      </c>
      <c r="R51" s="25">
        <v>24.99</v>
      </c>
      <c r="S51" s="21">
        <v>0</v>
      </c>
      <c r="T51" s="58">
        <f t="shared" si="2"/>
        <v>0</v>
      </c>
      <c r="U51" s="59"/>
      <c r="V51" s="41"/>
    </row>
    <row r="52" spans="2:22" ht="50.1" customHeight="1" x14ac:dyDescent="0.25">
      <c r="B52" s="16"/>
      <c r="C52" s="1" t="s">
        <v>161</v>
      </c>
      <c r="D52" s="5" t="s">
        <v>23</v>
      </c>
      <c r="E52" s="4" t="s">
        <v>41</v>
      </c>
      <c r="F52" s="52" t="s">
        <v>45</v>
      </c>
      <c r="G52" s="53"/>
      <c r="H52" s="53"/>
      <c r="I52" s="54"/>
      <c r="J52" s="55" t="s">
        <v>122</v>
      </c>
      <c r="K52" s="56"/>
      <c r="L52" s="57"/>
      <c r="M52" s="55" t="s">
        <v>37</v>
      </c>
      <c r="N52" s="56"/>
      <c r="O52" s="56"/>
      <c r="P52" s="57"/>
      <c r="Q52" s="29">
        <v>9.39</v>
      </c>
      <c r="R52" s="25">
        <v>24.99</v>
      </c>
      <c r="S52" s="21">
        <v>220</v>
      </c>
      <c r="T52" s="58">
        <f t="shared" si="2"/>
        <v>2065.8000000000002</v>
      </c>
      <c r="U52" s="59"/>
      <c r="V52" s="41"/>
    </row>
    <row r="53" spans="2:22" ht="3" customHeight="1" x14ac:dyDescent="0.25">
      <c r="B53" s="16"/>
      <c r="C53" s="1"/>
      <c r="D53" s="4"/>
      <c r="E53" s="4"/>
      <c r="F53" s="52"/>
      <c r="G53" s="53"/>
      <c r="H53" s="53"/>
      <c r="I53" s="54"/>
      <c r="J53" s="52"/>
      <c r="K53" s="53"/>
      <c r="L53" s="54"/>
      <c r="M53" s="52"/>
      <c r="N53" s="53"/>
      <c r="O53" s="53"/>
      <c r="P53" s="54"/>
      <c r="Q53" s="20"/>
      <c r="R53" s="26"/>
      <c r="S53" s="21"/>
      <c r="T53" s="58"/>
      <c r="U53" s="59"/>
      <c r="V53" s="41"/>
    </row>
    <row r="54" spans="2:22" ht="50.1" customHeight="1" x14ac:dyDescent="0.25">
      <c r="B54" s="16"/>
      <c r="C54" s="1" t="s">
        <v>162</v>
      </c>
      <c r="D54" s="5">
        <v>100</v>
      </c>
      <c r="E54" s="4" t="s">
        <v>41</v>
      </c>
      <c r="F54" s="52" t="s">
        <v>43</v>
      </c>
      <c r="G54" s="53"/>
      <c r="H54" s="53"/>
      <c r="I54" s="54"/>
      <c r="J54" s="55" t="s">
        <v>131</v>
      </c>
      <c r="K54" s="56"/>
      <c r="L54" s="57"/>
      <c r="M54" s="55" t="s">
        <v>37</v>
      </c>
      <c r="N54" s="56"/>
      <c r="O54" s="56"/>
      <c r="P54" s="57"/>
      <c r="Q54" s="29">
        <v>9.39</v>
      </c>
      <c r="R54" s="25">
        <v>24.99</v>
      </c>
      <c r="S54" s="21">
        <v>200</v>
      </c>
      <c r="T54" s="58">
        <f t="shared" si="2"/>
        <v>1878</v>
      </c>
      <c r="U54" s="59"/>
      <c r="V54" s="41"/>
    </row>
    <row r="55" spans="2:22" ht="50.1" customHeight="1" x14ac:dyDescent="0.25">
      <c r="B55" s="16"/>
      <c r="C55" s="1" t="s">
        <v>163</v>
      </c>
      <c r="D55" s="4">
        <v>600</v>
      </c>
      <c r="E55" s="4" t="s">
        <v>41</v>
      </c>
      <c r="F55" s="52" t="s">
        <v>124</v>
      </c>
      <c r="G55" s="53"/>
      <c r="H55" s="53"/>
      <c r="I55" s="54"/>
      <c r="J55" s="55" t="s">
        <v>131</v>
      </c>
      <c r="K55" s="56"/>
      <c r="L55" s="57"/>
      <c r="M55" s="55" t="s">
        <v>37</v>
      </c>
      <c r="N55" s="56"/>
      <c r="O55" s="56"/>
      <c r="P55" s="57"/>
      <c r="Q55" s="29">
        <v>9.39</v>
      </c>
      <c r="R55" s="25">
        <v>24.99</v>
      </c>
      <c r="S55" s="21">
        <v>100</v>
      </c>
      <c r="T55" s="58">
        <f t="shared" si="2"/>
        <v>939</v>
      </c>
      <c r="U55" s="59"/>
      <c r="V55" s="41"/>
    </row>
    <row r="56" spans="2:22" ht="50.1" customHeight="1" x14ac:dyDescent="0.25">
      <c r="B56" s="16"/>
      <c r="C56" s="1" t="s">
        <v>164</v>
      </c>
      <c r="D56" s="5" t="s">
        <v>126</v>
      </c>
      <c r="E56" s="4" t="s">
        <v>41</v>
      </c>
      <c r="F56" s="52" t="s">
        <v>107</v>
      </c>
      <c r="G56" s="53"/>
      <c r="H56" s="53"/>
      <c r="I56" s="54"/>
      <c r="J56" s="55" t="s">
        <v>131</v>
      </c>
      <c r="K56" s="56"/>
      <c r="L56" s="57"/>
      <c r="M56" s="55" t="s">
        <v>37</v>
      </c>
      <c r="N56" s="56"/>
      <c r="O56" s="56"/>
      <c r="P56" s="57"/>
      <c r="Q56" s="29">
        <v>9.39</v>
      </c>
      <c r="R56" s="25">
        <v>24.99</v>
      </c>
      <c r="S56" s="21">
        <v>0</v>
      </c>
      <c r="T56" s="58">
        <f t="shared" si="2"/>
        <v>0</v>
      </c>
      <c r="U56" s="59"/>
      <c r="V56" s="41"/>
    </row>
    <row r="57" spans="2:22" ht="50.1" customHeight="1" x14ac:dyDescent="0.25">
      <c r="B57" s="16"/>
      <c r="C57" s="1" t="s">
        <v>165</v>
      </c>
      <c r="D57" s="5">
        <v>400</v>
      </c>
      <c r="E57" s="4" t="s">
        <v>41</v>
      </c>
      <c r="F57" s="52" t="s">
        <v>128</v>
      </c>
      <c r="G57" s="53"/>
      <c r="H57" s="53"/>
      <c r="I57" s="54"/>
      <c r="J57" s="55" t="s">
        <v>131</v>
      </c>
      <c r="K57" s="56"/>
      <c r="L57" s="57"/>
      <c r="M57" s="55" t="s">
        <v>37</v>
      </c>
      <c r="N57" s="56"/>
      <c r="O57" s="56"/>
      <c r="P57" s="57"/>
      <c r="Q57" s="29">
        <v>9.39</v>
      </c>
      <c r="R57" s="25">
        <v>24.99</v>
      </c>
      <c r="S57" s="21">
        <v>0</v>
      </c>
      <c r="T57" s="58">
        <f t="shared" si="2"/>
        <v>0</v>
      </c>
      <c r="U57" s="59"/>
      <c r="V57" s="41"/>
    </row>
    <row r="58" spans="2:22" ht="50.1" customHeight="1" x14ac:dyDescent="0.25">
      <c r="B58" s="16"/>
      <c r="C58" s="1" t="s">
        <v>166</v>
      </c>
      <c r="D58" s="5" t="s">
        <v>23</v>
      </c>
      <c r="E58" s="4" t="s">
        <v>41</v>
      </c>
      <c r="F58" s="52" t="s">
        <v>45</v>
      </c>
      <c r="G58" s="53"/>
      <c r="H58" s="53"/>
      <c r="I58" s="54"/>
      <c r="J58" s="55" t="s">
        <v>131</v>
      </c>
      <c r="K58" s="56"/>
      <c r="L58" s="57"/>
      <c r="M58" s="55" t="s">
        <v>37</v>
      </c>
      <c r="N58" s="56"/>
      <c r="O58" s="56"/>
      <c r="P58" s="57"/>
      <c r="Q58" s="29">
        <v>9.39</v>
      </c>
      <c r="R58" s="25">
        <v>24.99</v>
      </c>
      <c r="S58" s="21">
        <v>200</v>
      </c>
      <c r="T58" s="58">
        <f t="shared" si="2"/>
        <v>1878</v>
      </c>
      <c r="U58" s="59"/>
      <c r="V58" s="41"/>
    </row>
    <row r="59" spans="2:22" ht="3" customHeight="1" x14ac:dyDescent="0.25">
      <c r="B59" s="16"/>
      <c r="C59" s="1"/>
      <c r="D59" s="4"/>
      <c r="E59" s="4"/>
      <c r="F59" s="52"/>
      <c r="G59" s="53"/>
      <c r="H59" s="53"/>
      <c r="I59" s="54"/>
      <c r="J59" s="52"/>
      <c r="K59" s="53"/>
      <c r="L59" s="54"/>
      <c r="M59" s="52"/>
      <c r="N59" s="53"/>
      <c r="O59" s="53"/>
      <c r="P59" s="54"/>
      <c r="Q59" s="20"/>
      <c r="R59" s="26"/>
      <c r="S59" s="21"/>
      <c r="T59" s="58"/>
      <c r="U59" s="59"/>
      <c r="V59" s="41"/>
    </row>
    <row r="60" spans="2:22" ht="50.1" customHeight="1" x14ac:dyDescent="0.25">
      <c r="B60" s="16"/>
      <c r="C60" s="1" t="s">
        <v>167</v>
      </c>
      <c r="D60" s="5">
        <v>100</v>
      </c>
      <c r="E60" s="4" t="s">
        <v>41</v>
      </c>
      <c r="F60" s="52" t="s">
        <v>43</v>
      </c>
      <c r="G60" s="53"/>
      <c r="H60" s="53"/>
      <c r="I60" s="54"/>
      <c r="J60" s="55" t="s">
        <v>137</v>
      </c>
      <c r="K60" s="56"/>
      <c r="L60" s="57"/>
      <c r="M60" s="55" t="s">
        <v>37</v>
      </c>
      <c r="N60" s="56"/>
      <c r="O60" s="56"/>
      <c r="P60" s="57"/>
      <c r="Q60" s="29">
        <v>9.39</v>
      </c>
      <c r="R60" s="25">
        <v>24.99</v>
      </c>
      <c r="S60" s="21">
        <v>200</v>
      </c>
      <c r="T60" s="58">
        <f t="shared" si="2"/>
        <v>1878</v>
      </c>
      <c r="U60" s="59"/>
      <c r="V60" s="41"/>
    </row>
    <row r="61" spans="2:22" ht="50.1" customHeight="1" x14ac:dyDescent="0.25">
      <c r="B61" s="16"/>
      <c r="C61" s="1" t="s">
        <v>168</v>
      </c>
      <c r="D61" s="4">
        <v>600</v>
      </c>
      <c r="E61" s="4" t="s">
        <v>41</v>
      </c>
      <c r="F61" s="52" t="s">
        <v>124</v>
      </c>
      <c r="G61" s="53"/>
      <c r="H61" s="53"/>
      <c r="I61" s="54"/>
      <c r="J61" s="55" t="s">
        <v>137</v>
      </c>
      <c r="K61" s="56"/>
      <c r="L61" s="57"/>
      <c r="M61" s="55" t="s">
        <v>37</v>
      </c>
      <c r="N61" s="56"/>
      <c r="O61" s="56"/>
      <c r="P61" s="57"/>
      <c r="Q61" s="29">
        <v>9.39</v>
      </c>
      <c r="R61" s="25">
        <v>24.99</v>
      </c>
      <c r="S61" s="21">
        <v>0</v>
      </c>
      <c r="T61" s="58">
        <f t="shared" si="2"/>
        <v>0</v>
      </c>
      <c r="U61" s="59"/>
      <c r="V61" s="41"/>
    </row>
    <row r="62" spans="2:22" ht="50.1" customHeight="1" x14ac:dyDescent="0.25">
      <c r="B62" s="16"/>
      <c r="C62" s="1" t="s">
        <v>169</v>
      </c>
      <c r="D62" s="5" t="s">
        <v>126</v>
      </c>
      <c r="E62" s="4" t="s">
        <v>41</v>
      </c>
      <c r="F62" s="52" t="s">
        <v>107</v>
      </c>
      <c r="G62" s="53"/>
      <c r="H62" s="53"/>
      <c r="I62" s="54"/>
      <c r="J62" s="55" t="s">
        <v>137</v>
      </c>
      <c r="K62" s="56"/>
      <c r="L62" s="57"/>
      <c r="M62" s="55" t="s">
        <v>37</v>
      </c>
      <c r="N62" s="56"/>
      <c r="O62" s="56"/>
      <c r="P62" s="57"/>
      <c r="Q62" s="29">
        <v>9.39</v>
      </c>
      <c r="R62" s="25">
        <v>24.99</v>
      </c>
      <c r="S62" s="21">
        <v>0</v>
      </c>
      <c r="T62" s="58">
        <f t="shared" si="2"/>
        <v>0</v>
      </c>
      <c r="U62" s="59"/>
      <c r="V62" s="41"/>
    </row>
    <row r="63" spans="2:22" ht="50.1" customHeight="1" x14ac:dyDescent="0.25">
      <c r="B63" s="16"/>
      <c r="C63" s="1" t="s">
        <v>170</v>
      </c>
      <c r="D63" s="5">
        <v>400</v>
      </c>
      <c r="E63" s="4" t="s">
        <v>41</v>
      </c>
      <c r="F63" s="52" t="s">
        <v>128</v>
      </c>
      <c r="G63" s="53"/>
      <c r="H63" s="53"/>
      <c r="I63" s="54"/>
      <c r="J63" s="55" t="s">
        <v>137</v>
      </c>
      <c r="K63" s="56"/>
      <c r="L63" s="57"/>
      <c r="M63" s="55" t="s">
        <v>37</v>
      </c>
      <c r="N63" s="56"/>
      <c r="O63" s="56"/>
      <c r="P63" s="57"/>
      <c r="Q63" s="29">
        <v>9.39</v>
      </c>
      <c r="R63" s="25">
        <v>24.99</v>
      </c>
      <c r="S63" s="21">
        <v>0</v>
      </c>
      <c r="T63" s="58">
        <f t="shared" si="2"/>
        <v>0</v>
      </c>
      <c r="U63" s="59"/>
      <c r="V63" s="41"/>
    </row>
    <row r="64" spans="2:22" ht="50.1" customHeight="1" x14ac:dyDescent="0.25">
      <c r="B64" s="16"/>
      <c r="C64" s="1" t="s">
        <v>171</v>
      </c>
      <c r="D64" s="5" t="s">
        <v>23</v>
      </c>
      <c r="E64" s="4" t="s">
        <v>41</v>
      </c>
      <c r="F64" s="52" t="s">
        <v>45</v>
      </c>
      <c r="G64" s="53"/>
      <c r="H64" s="53"/>
      <c r="I64" s="54"/>
      <c r="J64" s="55" t="s">
        <v>137</v>
      </c>
      <c r="K64" s="56"/>
      <c r="L64" s="57"/>
      <c r="M64" s="55" t="s">
        <v>37</v>
      </c>
      <c r="N64" s="56"/>
      <c r="O64" s="56"/>
      <c r="P64" s="57"/>
      <c r="Q64" s="29">
        <v>9.39</v>
      </c>
      <c r="R64" s="25">
        <v>24.99</v>
      </c>
      <c r="S64" s="21">
        <v>200</v>
      </c>
      <c r="T64" s="58">
        <f t="shared" si="2"/>
        <v>1878</v>
      </c>
      <c r="U64" s="59"/>
      <c r="V64" s="41"/>
    </row>
    <row r="65" spans="2:22" ht="3" customHeight="1" x14ac:dyDescent="0.25">
      <c r="B65" s="16"/>
      <c r="C65" s="1"/>
      <c r="D65" s="4"/>
      <c r="E65" s="4"/>
      <c r="F65" s="52"/>
      <c r="G65" s="53"/>
      <c r="H65" s="53"/>
      <c r="I65" s="54"/>
      <c r="J65" s="52"/>
      <c r="K65" s="53"/>
      <c r="L65" s="54"/>
      <c r="M65" s="52"/>
      <c r="N65" s="53"/>
      <c r="O65" s="53"/>
      <c r="P65" s="54"/>
      <c r="Q65" s="20"/>
      <c r="R65" s="26"/>
      <c r="S65" s="21"/>
      <c r="T65" s="58"/>
      <c r="U65" s="59"/>
      <c r="V65" s="41"/>
    </row>
    <row r="66" spans="2:22" x14ac:dyDescent="0.25">
      <c r="B66" s="43"/>
      <c r="C66" s="44"/>
      <c r="D66" s="45"/>
      <c r="E66" s="17"/>
      <c r="F66" s="46"/>
      <c r="G66" s="44"/>
      <c r="H66" s="44"/>
      <c r="I66" s="45"/>
      <c r="J66" s="46"/>
      <c r="K66" s="44"/>
      <c r="L66" s="45"/>
      <c r="M66" s="46"/>
      <c r="N66" s="44"/>
      <c r="O66" s="44"/>
      <c r="P66" s="45"/>
      <c r="Q66" s="18"/>
      <c r="R66" s="18"/>
      <c r="S66" s="30">
        <f>SUM(S12:S65)</f>
        <v>3030</v>
      </c>
      <c r="T66" s="47">
        <f>SUM(T12:U65)</f>
        <v>28075.699999999997</v>
      </c>
      <c r="U66" s="48"/>
      <c r="V66" s="42"/>
    </row>
    <row r="67" spans="2:22" ht="9" customHeight="1" thickBot="1" x14ac:dyDescent="0.3">
      <c r="B67" s="49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1"/>
    </row>
    <row r="69" spans="2:22" x14ac:dyDescent="0.25">
      <c r="T69" s="19"/>
    </row>
  </sheetData>
  <mergeCells count="255">
    <mergeCell ref="B66:D66"/>
    <mergeCell ref="F66:I66"/>
    <mergeCell ref="J66:L66"/>
    <mergeCell ref="M66:P66"/>
    <mergeCell ref="T66:U66"/>
    <mergeCell ref="B67:U67"/>
    <mergeCell ref="F64:I64"/>
    <mergeCell ref="J64:L64"/>
    <mergeCell ref="M64:P64"/>
    <mergeCell ref="T64:U64"/>
    <mergeCell ref="F65:I65"/>
    <mergeCell ref="J65:L65"/>
    <mergeCell ref="M65:P65"/>
    <mergeCell ref="T65:U65"/>
    <mergeCell ref="F62:I62"/>
    <mergeCell ref="J62:L62"/>
    <mergeCell ref="M62:P62"/>
    <mergeCell ref="T62:U62"/>
    <mergeCell ref="F63:I63"/>
    <mergeCell ref="J63:L63"/>
    <mergeCell ref="M63:P63"/>
    <mergeCell ref="T63:U63"/>
    <mergeCell ref="F60:I60"/>
    <mergeCell ref="J60:L60"/>
    <mergeCell ref="M60:P60"/>
    <mergeCell ref="T60:U60"/>
    <mergeCell ref="F61:I61"/>
    <mergeCell ref="J61:L61"/>
    <mergeCell ref="M61:P61"/>
    <mergeCell ref="T61:U61"/>
    <mergeCell ref="F58:I58"/>
    <mergeCell ref="J58:L58"/>
    <mergeCell ref="M58:P58"/>
    <mergeCell ref="T58:U58"/>
    <mergeCell ref="F59:I59"/>
    <mergeCell ref="J59:L59"/>
    <mergeCell ref="M59:P59"/>
    <mergeCell ref="T59:U59"/>
    <mergeCell ref="F56:I56"/>
    <mergeCell ref="J56:L56"/>
    <mergeCell ref="M56:P56"/>
    <mergeCell ref="T56:U56"/>
    <mergeCell ref="F57:I57"/>
    <mergeCell ref="J57:L57"/>
    <mergeCell ref="M57:P57"/>
    <mergeCell ref="T57:U57"/>
    <mergeCell ref="F54:I54"/>
    <mergeCell ref="J54:L54"/>
    <mergeCell ref="M54:P54"/>
    <mergeCell ref="T54:U54"/>
    <mergeCell ref="F55:I55"/>
    <mergeCell ref="J55:L55"/>
    <mergeCell ref="M55:P55"/>
    <mergeCell ref="T55:U55"/>
    <mergeCell ref="F52:I52"/>
    <mergeCell ref="J52:L52"/>
    <mergeCell ref="M52:P52"/>
    <mergeCell ref="T52:U52"/>
    <mergeCell ref="F53:I53"/>
    <mergeCell ref="J53:L53"/>
    <mergeCell ref="M53:P53"/>
    <mergeCell ref="T53:U53"/>
    <mergeCell ref="F50:I50"/>
    <mergeCell ref="J50:L50"/>
    <mergeCell ref="M50:P50"/>
    <mergeCell ref="T50:U50"/>
    <mergeCell ref="F51:I51"/>
    <mergeCell ref="J51:L51"/>
    <mergeCell ref="M51:P51"/>
    <mergeCell ref="T51:U51"/>
    <mergeCell ref="F48:I48"/>
    <mergeCell ref="J48:L48"/>
    <mergeCell ref="M48:P48"/>
    <mergeCell ref="T48:U48"/>
    <mergeCell ref="F49:I49"/>
    <mergeCell ref="J49:L49"/>
    <mergeCell ref="M49:P49"/>
    <mergeCell ref="T49:U49"/>
    <mergeCell ref="F46:I46"/>
    <mergeCell ref="J46:L46"/>
    <mergeCell ref="M46:P46"/>
    <mergeCell ref="T46:U46"/>
    <mergeCell ref="F47:I47"/>
    <mergeCell ref="J47:L47"/>
    <mergeCell ref="M47:P47"/>
    <mergeCell ref="T47:U47"/>
    <mergeCell ref="F44:I44"/>
    <mergeCell ref="J44:L44"/>
    <mergeCell ref="M44:P44"/>
    <mergeCell ref="T44:U44"/>
    <mergeCell ref="F45:I45"/>
    <mergeCell ref="J45:L45"/>
    <mergeCell ref="M45:P45"/>
    <mergeCell ref="T45:U45"/>
    <mergeCell ref="F42:I42"/>
    <mergeCell ref="J42:L42"/>
    <mergeCell ref="M42:P42"/>
    <mergeCell ref="T42:U42"/>
    <mergeCell ref="F43:I43"/>
    <mergeCell ref="J43:L43"/>
    <mergeCell ref="M43:P43"/>
    <mergeCell ref="T43:U43"/>
    <mergeCell ref="F40:I40"/>
    <mergeCell ref="J40:L40"/>
    <mergeCell ref="M40:P40"/>
    <mergeCell ref="T40:U40"/>
    <mergeCell ref="F41:I41"/>
    <mergeCell ref="J41:L41"/>
    <mergeCell ref="M41:P41"/>
    <mergeCell ref="T41:U41"/>
    <mergeCell ref="F38:I38"/>
    <mergeCell ref="J38:L38"/>
    <mergeCell ref="M38:P38"/>
    <mergeCell ref="T38:U38"/>
    <mergeCell ref="F39:I39"/>
    <mergeCell ref="J39:L39"/>
    <mergeCell ref="M39:P39"/>
    <mergeCell ref="T39:U39"/>
    <mergeCell ref="F36:I36"/>
    <mergeCell ref="J36:L36"/>
    <mergeCell ref="M36:P36"/>
    <mergeCell ref="T36:U36"/>
    <mergeCell ref="F37:I37"/>
    <mergeCell ref="J37:L37"/>
    <mergeCell ref="M37:P37"/>
    <mergeCell ref="T37:U37"/>
    <mergeCell ref="F34:I34"/>
    <mergeCell ref="J34:L34"/>
    <mergeCell ref="M34:P34"/>
    <mergeCell ref="T34:U34"/>
    <mergeCell ref="F35:I35"/>
    <mergeCell ref="J35:L35"/>
    <mergeCell ref="M35:P35"/>
    <mergeCell ref="T35:U35"/>
    <mergeCell ref="F32:I32"/>
    <mergeCell ref="J32:L32"/>
    <mergeCell ref="M32:P32"/>
    <mergeCell ref="T32:U32"/>
    <mergeCell ref="F33:I33"/>
    <mergeCell ref="J33:L33"/>
    <mergeCell ref="M33:P33"/>
    <mergeCell ref="T33:U33"/>
    <mergeCell ref="F30:I30"/>
    <mergeCell ref="J30:L30"/>
    <mergeCell ref="M30:P30"/>
    <mergeCell ref="T30:U30"/>
    <mergeCell ref="F31:I31"/>
    <mergeCell ref="J31:L31"/>
    <mergeCell ref="M31:P31"/>
    <mergeCell ref="T31:U31"/>
    <mergeCell ref="F28:I28"/>
    <mergeCell ref="J28:L28"/>
    <mergeCell ref="M28:P28"/>
    <mergeCell ref="T28:U28"/>
    <mergeCell ref="F29:I29"/>
    <mergeCell ref="J29:L29"/>
    <mergeCell ref="M29:P29"/>
    <mergeCell ref="T29:U29"/>
    <mergeCell ref="F26:I26"/>
    <mergeCell ref="J26:L26"/>
    <mergeCell ref="M26:P26"/>
    <mergeCell ref="T26:U26"/>
    <mergeCell ref="F27:I27"/>
    <mergeCell ref="J27:L27"/>
    <mergeCell ref="M27:P27"/>
    <mergeCell ref="T27:U27"/>
    <mergeCell ref="F24:I24"/>
    <mergeCell ref="J24:L24"/>
    <mergeCell ref="M24:P24"/>
    <mergeCell ref="T24:U24"/>
    <mergeCell ref="F25:I25"/>
    <mergeCell ref="J25:L25"/>
    <mergeCell ref="M25:P25"/>
    <mergeCell ref="T25:U25"/>
    <mergeCell ref="F22:I22"/>
    <mergeCell ref="J22:L22"/>
    <mergeCell ref="M22:P22"/>
    <mergeCell ref="T22:U22"/>
    <mergeCell ref="F23:I23"/>
    <mergeCell ref="J23:L23"/>
    <mergeCell ref="M23:P23"/>
    <mergeCell ref="T23:U23"/>
    <mergeCell ref="F20:I20"/>
    <mergeCell ref="J20:L20"/>
    <mergeCell ref="M20:P20"/>
    <mergeCell ref="T20:U20"/>
    <mergeCell ref="F21:I21"/>
    <mergeCell ref="J21:L21"/>
    <mergeCell ref="M21:P21"/>
    <mergeCell ref="T21:U21"/>
    <mergeCell ref="F18:I18"/>
    <mergeCell ref="J18:L18"/>
    <mergeCell ref="M18:P18"/>
    <mergeCell ref="T18:U18"/>
    <mergeCell ref="F19:I19"/>
    <mergeCell ref="J19:L19"/>
    <mergeCell ref="M19:P19"/>
    <mergeCell ref="T19:U19"/>
    <mergeCell ref="F16:I16"/>
    <mergeCell ref="J16:L16"/>
    <mergeCell ref="M16:P16"/>
    <mergeCell ref="T16:U16"/>
    <mergeCell ref="F17:I17"/>
    <mergeCell ref="J17:L17"/>
    <mergeCell ref="M17:P17"/>
    <mergeCell ref="T17:U17"/>
    <mergeCell ref="F14:I14"/>
    <mergeCell ref="J14:L14"/>
    <mergeCell ref="M14:P14"/>
    <mergeCell ref="T14:U14"/>
    <mergeCell ref="F15:I15"/>
    <mergeCell ref="J15:L15"/>
    <mergeCell ref="M15:P15"/>
    <mergeCell ref="T15:U15"/>
    <mergeCell ref="F12:I12"/>
    <mergeCell ref="J12:L12"/>
    <mergeCell ref="M12:P12"/>
    <mergeCell ref="T12:U12"/>
    <mergeCell ref="F13:I13"/>
    <mergeCell ref="J13:L13"/>
    <mergeCell ref="M13:P13"/>
    <mergeCell ref="T13:U13"/>
    <mergeCell ref="C9:U9"/>
    <mergeCell ref="F10:I10"/>
    <mergeCell ref="J10:L10"/>
    <mergeCell ref="M10:P10"/>
    <mergeCell ref="T10:U10"/>
    <mergeCell ref="F11:I11"/>
    <mergeCell ref="J11:L11"/>
    <mergeCell ref="M11:P11"/>
    <mergeCell ref="T11:U11"/>
    <mergeCell ref="D7:H7"/>
    <mergeCell ref="I7:K7"/>
    <mergeCell ref="L7:U7"/>
    <mergeCell ref="B8:C8"/>
    <mergeCell ref="D8:E8"/>
    <mergeCell ref="F8:H8"/>
    <mergeCell ref="I8:Q8"/>
    <mergeCell ref="S8:U8"/>
    <mergeCell ref="C5:Q5"/>
    <mergeCell ref="S5:U5"/>
    <mergeCell ref="C6:E6"/>
    <mergeCell ref="G6:H6"/>
    <mergeCell ref="I6:J6"/>
    <mergeCell ref="K6:M6"/>
    <mergeCell ref="O6:U6"/>
    <mergeCell ref="B2:U2"/>
    <mergeCell ref="C3:H3"/>
    <mergeCell ref="I3:J3"/>
    <mergeCell ref="K3:Q3"/>
    <mergeCell ref="S3:U3"/>
    <mergeCell ref="C4:E4"/>
    <mergeCell ref="F4:H4"/>
    <mergeCell ref="I4:Q4"/>
    <mergeCell ref="S4:U4"/>
  </mergeCells>
  <pageMargins left="0.511811024" right="0.511811024" top="0.78740157499999996" bottom="0.78740157499999996" header="0.31496062000000002" footer="0.31496062000000002"/>
  <pageSetup paperSize="9"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Pulmão AW</vt:lpstr>
      <vt:lpstr>Pulmão AF</vt:lpstr>
      <vt:lpstr>Magic Feet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</dc:creator>
  <cp:lastModifiedBy>Grazielly Gomes Araujo</cp:lastModifiedBy>
  <cp:lastPrinted>2018-12-06T16:46:30Z</cp:lastPrinted>
  <dcterms:created xsi:type="dcterms:W3CDTF">2010-08-02T13:51:18Z</dcterms:created>
  <dcterms:modified xsi:type="dcterms:W3CDTF">2026-07-03T18:49:13Z</dcterms:modified>
</cp:coreProperties>
</file>