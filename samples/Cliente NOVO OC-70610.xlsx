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azielly.araujo\Downloads\"/>
    </mc:Choice>
  </mc:AlternateContent>
  <xr:revisionPtr revIDLastSave="0" documentId="8_{F5C64139-2E64-4148-828E-4AB9DDB66C0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le 1" sheetId="1" r:id="rId1"/>
  </sheets>
  <definedNames>
    <definedName name="_xlnm._FilterDatabase" localSheetId="0" hidden="1">'Table 1'!$A$5:$P$26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1" l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6" i="1"/>
  <c r="O24" i="1" l="1"/>
</calcChain>
</file>

<file path=xl/sharedStrings.xml><?xml version="1.0" encoding="utf-8"?>
<sst xmlns="http://schemas.openxmlformats.org/spreadsheetml/2006/main" count="127" uniqueCount="60">
  <si>
    <r>
      <rPr>
        <sz val="8"/>
        <color rgb="FFFFFFFF"/>
        <rFont val="Roboto Lt"/>
      </rPr>
      <t>CONDIÇÕES COMERCIAIS</t>
    </r>
  </si>
  <si>
    <r>
      <rPr>
        <sz val="7"/>
        <color rgb="FF666666"/>
        <rFont val="Roboto"/>
      </rPr>
      <t>Frete: CIF — Por conta do fornecedor Pagamento: 120 – Boleto Bancário Moeda: BRL</t>
    </r>
  </si>
  <si>
    <r>
      <rPr>
        <sz val="8"/>
        <color rgb="FFFFFFFF"/>
        <rFont val="Roboto Lt"/>
      </rPr>
      <t>INSTRUÇÕES AO FORNECEDOR</t>
    </r>
  </si>
  <si>
    <t>FORNECEDOR (NF)</t>
  </si>
  <si>
    <r>
      <rPr>
        <sz val="11"/>
        <color rgb="FF7E3162"/>
        <rFont val="Roboto Lt"/>
      </rPr>
      <t xml:space="preserve">Daju LTDA
</t>
    </r>
    <r>
      <rPr>
        <sz val="11"/>
        <color rgb="FF666666"/>
        <rFont val="Roboto"/>
      </rPr>
      <t>CNPJ: 76.917.624/0004-82
Rua Altônia, 238 — Emiliano Pernet — CEP 83324-350 — Pinhais/PR E-mail: adriana.assuncao@daju.com.br
Tel.: (41) 3022-0001</t>
    </r>
  </si>
  <si>
    <t>HOMEWEAR KIT MEIAS CANO ALTO 3  PARES ADULTO — BRANCO — 39/44</t>
  </si>
  <si>
    <t>HOMEWEAR KIT MEIAS CANO ALTO 3 PARES ADULTO — BRANCO — 34/38</t>
  </si>
  <si>
    <t>HOMEWEAR KIT MEIAS CANO ALTO 3 PARES ADULTO — BRANCO/CINZA/ PRETO — 39/44</t>
  </si>
  <si>
    <t>HOMEWEAR KIT MEIAS CANO ALTO 3 PARES ADULTO — BRANCO/CINZA/ PRETO — 34/38</t>
  </si>
  <si>
    <t>HOMEWEAR KIT MEIAS CANO ALTO 3 PARES ADULTO — PRETO — 39/44</t>
  </si>
  <si>
    <t>HOMEWEAR KIT MEIAS CANO ALTO 3 PARES ADULTO — PRETO — 34/38</t>
  </si>
  <si>
    <t>HOMEWEAR KIT MEIAS CANO MEDIO 3 PARES — BRANCO — 39/44</t>
  </si>
  <si>
    <t>HOMEWEAR KIT MEIAS CANO MEDIO 3 PARES — BRANCO — 34/38</t>
  </si>
  <si>
    <t>HOMEWEAR KIT MEIAS CANO MEDIO 3 PARES — BRANCO/CINZA/PRETO —39/44</t>
  </si>
  <si>
    <t>HOMEWEAR KIT MEIAS CANO MEDIO 3 PARES — BRANCO/CINZA/PRETO —34/38</t>
  </si>
  <si>
    <t>HOMEWEAR KIT MEIAS CANO MEDIO 3 PARES — PRETO — 39/44</t>
  </si>
  <si>
    <t>HOMEWEAR KIT MEIAS CANO MEDIO 3 PARES — PRETO — 34/38</t>
  </si>
  <si>
    <t>HOMEWEAR KIT MEIAS SAPATILHAS 3 PARES ADULTO — BRANCO — 39/44</t>
  </si>
  <si>
    <t>HOMEWEAR KIT MEIAS SAPATILHAS 3 PARES ADULTO — BRANCO — 34/38</t>
  </si>
  <si>
    <t>HOMEWEAR KIT MEIAS SAPATILHAS 3 PARES ADULTO — BRANCO/CINZA/ PRETO — 39/44</t>
  </si>
  <si>
    <t>HOMEWEAR KIT MEIAS SAPATILHAS 3 PARES ADULTO — BRANCO/CINZA/ PRETO — 34/38</t>
  </si>
  <si>
    <t>HOMEWEAR KIT MEIAS SAPATILHAS 3 PARES ADULTO — PRETO — 39/44</t>
  </si>
  <si>
    <t>HOMEWEAR KIT MEIAS SAPATILHAS 3 PARES ADULTO — PRETO — 34/38</t>
  </si>
  <si>
    <r>
      <rPr>
        <sz val="11"/>
        <color rgb="FF666666"/>
        <rFont val="Roboto"/>
      </rPr>
      <t>1. A nota fiscal deve ser emitida em nome da Daju LTDA — CNPJ 76.917.624/0004-82.
2. Indicar obrigatoriamente o número da OC no campo Informações Adicionais da NF-e: OC-70610.
3. A entrada do XML da Nota Fiscal Eletrônica no sistema será realizada exclusivamente através deste número de OC.
4. É necessário que seja emitido somente uma OC por Nota Fiscal.
5. O agendamento da nota fiscal deverá ser feito através do portal de agendamentos DAJU.
6. Entregas sem agendamento via portal, fora do prazo ou sem o número de OC na nota fiscal poderão ser recusadas sem ônus ao comprador.</t>
    </r>
  </si>
  <si>
    <t>K3CBCCIL1G</t>
  </si>
  <si>
    <t>KIT</t>
  </si>
  <si>
    <t>R$ 16,12</t>
  </si>
  <si>
    <t>—</t>
  </si>
  <si>
    <t>K3CBCCIL1F</t>
  </si>
  <si>
    <t>K3CBCCIL11G</t>
  </si>
  <si>
    <t>K3CBCCIL11F</t>
  </si>
  <si>
    <t>K3CBCCIL2G</t>
  </si>
  <si>
    <t>K3CBCCIL2F</t>
  </si>
  <si>
    <t>K3BBCCIL1G</t>
  </si>
  <si>
    <t>R$ 14,39</t>
  </si>
  <si>
    <t>K3BBCCIL1F</t>
  </si>
  <si>
    <t>K3BBCCIL11G</t>
  </si>
  <si>
    <t>K3BBCCIL11F</t>
  </si>
  <si>
    <t>K3BBCCIL2G</t>
  </si>
  <si>
    <t>K3BBCCIL2F</t>
  </si>
  <si>
    <t>K3SBCCIL1G</t>
  </si>
  <si>
    <t>R$ 12,23</t>
  </si>
  <si>
    <t>K3SBCCIL1F</t>
  </si>
  <si>
    <t>K3SBCCIL11G</t>
  </si>
  <si>
    <t>K3SBCCIL11F</t>
  </si>
  <si>
    <t>K3SBCCIL2G</t>
  </si>
  <si>
    <t>K3SBCCIL2F</t>
  </si>
  <si>
    <r>
      <rPr>
        <sz val="10"/>
        <rFont val="Roboto Lt"/>
      </rPr>
      <t xml:space="preserve">NASMAR COMERCIO DE ROUPAS LTDA
</t>
    </r>
    <r>
      <rPr>
        <sz val="10"/>
        <color rgb="FF666666"/>
        <rFont val="Roboto"/>
      </rPr>
      <t>CNPJ: 34.513.679/0001-34
LUIZA MENEGHEL MANCINI, 96 — JARDIM PAULISTA — AMERICANA/SP — CEP 13468274</t>
    </r>
  </si>
  <si>
    <r>
      <rPr>
        <sz val="10"/>
        <color rgb="FF7E3162"/>
        <rFont val="Roboto Lt"/>
      </rPr>
      <t>Código</t>
    </r>
  </si>
  <si>
    <r>
      <rPr>
        <sz val="10"/>
        <color rgb="FF7E3162"/>
        <rFont val="Roboto Lt"/>
      </rPr>
      <t>Ref. Forn.</t>
    </r>
  </si>
  <si>
    <r>
      <rPr>
        <sz val="10"/>
        <color rgb="FF7E3162"/>
        <rFont val="Roboto Lt"/>
      </rPr>
      <t>EAN</t>
    </r>
  </si>
  <si>
    <r>
      <rPr>
        <sz val="10"/>
        <color rgb="FF7E3162"/>
        <rFont val="Roboto Lt"/>
      </rPr>
      <t>Descrição</t>
    </r>
  </si>
  <si>
    <r>
      <rPr>
        <sz val="10"/>
        <color rgb="FF7E3162"/>
        <rFont val="Roboto Lt"/>
      </rPr>
      <t>UN</t>
    </r>
  </si>
  <si>
    <r>
      <rPr>
        <sz val="10"/>
        <color rgb="FF7E3162"/>
        <rFont val="Roboto Lt"/>
      </rPr>
      <t>Qtd.</t>
    </r>
  </si>
  <si>
    <r>
      <rPr>
        <sz val="10"/>
        <color rgb="FF7E3162"/>
        <rFont val="Roboto Lt"/>
      </rPr>
      <t>Vl. Unitário</t>
    </r>
  </si>
  <si>
    <r>
      <rPr>
        <sz val="10"/>
        <color rgb="FF7E3162"/>
        <rFont val="Roboto Lt"/>
      </rPr>
      <t>Desc %</t>
    </r>
  </si>
  <si>
    <r>
      <rPr>
        <sz val="10"/>
        <color rgb="FF7E3162"/>
        <rFont val="Roboto Lt"/>
      </rPr>
      <t>IPI %</t>
    </r>
  </si>
  <si>
    <r>
      <rPr>
        <sz val="10"/>
        <color rgb="FF7E3162"/>
        <rFont val="Roboto Lt"/>
      </rPr>
      <t>ICMS</t>
    </r>
  </si>
  <si>
    <r>
      <rPr>
        <sz val="10"/>
        <color rgb="FF7E3162"/>
        <rFont val="Roboto Lt"/>
      </rPr>
      <t>Valor Total</t>
    </r>
  </si>
  <si>
    <r>
      <rPr>
        <sz val="11"/>
        <color rgb="FF7E3162"/>
        <rFont val="Roboto Lt"/>
      </rPr>
      <t xml:space="preserve">ORDEM DE COMPRA
</t>
    </r>
    <r>
      <rPr>
        <vertAlign val="superscript"/>
        <sz val="11"/>
        <color rgb="FF666666"/>
        <rFont val="Roboto"/>
      </rPr>
      <t xml:space="preserve">Nº OC:                                                                </t>
    </r>
    <r>
      <rPr>
        <sz val="11"/>
        <rFont val="Roboto Lt"/>
      </rPr>
      <t xml:space="preserve">OC-70610
</t>
    </r>
    <r>
      <rPr>
        <vertAlign val="superscript"/>
        <sz val="11"/>
        <color rgb="FF666666"/>
        <rFont val="Roboto"/>
      </rPr>
      <t xml:space="preserve">Emissão:                                                             </t>
    </r>
    <r>
      <rPr>
        <sz val="11"/>
        <rFont val="Roboto"/>
      </rPr>
      <t xml:space="preserve">11/08/2026
</t>
    </r>
    <r>
      <rPr>
        <vertAlign val="superscript"/>
        <sz val="11"/>
        <color rgb="FF666666"/>
        <rFont val="Roboto"/>
      </rPr>
      <t xml:space="preserve">Entrega prevista:                                                             </t>
    </r>
    <r>
      <rPr>
        <sz val="11"/>
        <rFont val="Roboto"/>
      </rPr>
      <t xml:space="preserve">/09/2026
</t>
    </r>
    <r>
      <rPr>
        <vertAlign val="superscript"/>
        <sz val="11"/>
        <color rgb="FF666666"/>
        <rFont val="Roboto"/>
      </rPr>
      <t xml:space="preserve">Período:                                                        </t>
    </r>
    <r>
      <rPr>
        <sz val="11"/>
        <rFont val="Roboto"/>
      </rPr>
      <t xml:space="preserve">Agosto / 2026
</t>
    </r>
    <r>
      <rPr>
        <vertAlign val="superscript"/>
        <sz val="11"/>
        <color rgb="FF666666"/>
        <rFont val="Roboto"/>
      </rPr>
      <t xml:space="preserve">Tipo/Motivo:                                                    </t>
    </r>
    <r>
      <rPr>
        <sz val="11"/>
        <rFont val="Roboto"/>
      </rPr>
      <t>Produtos Novos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</si>
</sst>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0"/>
  </numFmts>
  <fonts count="19">
    <font>
      <sz val="10"/>
      <color rgb="FF000000"/>
      <name val="Times New Roman"/>
      <charset val="204"/>
    </font>
    <font>
      <sz val="8"/>
      <name val="Roboto Lt"/>
    </font>
    <font>
      <sz val="7"/>
      <name val="Roboto"/>
    </font>
    <font>
      <sz val="10"/>
      <name val="Roboto Lt"/>
    </font>
    <font>
      <sz val="7"/>
      <color rgb="FF666666"/>
      <name val="Roboto"/>
    </font>
    <font>
      <sz val="8"/>
      <color rgb="FFFFFFFF"/>
      <name val="Roboto Lt"/>
    </font>
    <font>
      <sz val="10"/>
      <color rgb="FF000000"/>
      <name val="Times New Roman"/>
      <charset val="204"/>
    </font>
    <font>
      <sz val="11"/>
      <color rgb="FF000000"/>
      <name val="Times New Roman"/>
      <family val="1"/>
    </font>
    <font>
      <sz val="11"/>
      <color rgb="FF7E3162"/>
      <name val="Roboto Lt"/>
    </font>
    <font>
      <vertAlign val="superscript"/>
      <sz val="11"/>
      <color rgb="FF666666"/>
      <name val="Roboto"/>
    </font>
    <font>
      <sz val="11"/>
      <name val="Roboto Lt"/>
    </font>
    <font>
      <sz val="11"/>
      <name val="Roboto"/>
    </font>
    <font>
      <sz val="8"/>
      <color theme="0"/>
      <name val="Roboto Lt"/>
    </font>
    <font>
      <sz val="11"/>
      <color rgb="FF666666"/>
      <name val="Roboto"/>
    </font>
    <font>
      <sz val="10"/>
      <color rgb="FF000000"/>
      <name val="Roboto"/>
    </font>
    <font>
      <sz val="10"/>
      <name val="Roboto"/>
    </font>
    <font>
      <sz val="10"/>
      <color rgb="FF000000"/>
      <name val="Times New Roman"/>
      <family val="1"/>
    </font>
    <font>
      <sz val="10"/>
      <color rgb="FF666666"/>
      <name val="Roboto"/>
    </font>
    <font>
      <sz val="10"/>
      <color rgb="FF7E3162"/>
      <name val="Roboto Lt"/>
    </font>
  </fonts>
  <fills count="4">
    <fill>
      <patternFill patternType="none"/>
    </fill>
    <fill>
      <patternFill patternType="gray125"/>
    </fill>
    <fill>
      <patternFill patternType="solid">
        <fgColor rgb="FF7E3162"/>
      </patternFill>
    </fill>
    <fill>
      <patternFill patternType="solid">
        <fgColor rgb="FFECF0F1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AAAAAA"/>
      </top>
      <bottom/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4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wrapText="1"/>
    </xf>
    <xf numFmtId="164" fontId="14" fillId="0" borderId="2" xfId="0" applyNumberFormat="1" applyFont="1" applyBorder="1" applyAlignment="1">
      <alignment horizontal="center" vertical="top" shrinkToFit="1"/>
    </xf>
    <xf numFmtId="1" fontId="14" fillId="0" borderId="2" xfId="0" applyNumberFormat="1" applyFont="1" applyBorder="1" applyAlignment="1">
      <alignment horizontal="left" vertical="top" indent="1" shrinkToFit="1"/>
    </xf>
    <xf numFmtId="0" fontId="15" fillId="0" borderId="2" xfId="0" applyFont="1" applyBorder="1" applyAlignment="1">
      <alignment horizontal="left" vertical="top" wrapText="1" indent="2"/>
    </xf>
    <xf numFmtId="1" fontId="14" fillId="0" borderId="2" xfId="0" applyNumberFormat="1" applyFont="1" applyBorder="1" applyAlignment="1">
      <alignment horizontal="center" vertical="top" shrinkToFit="1"/>
    </xf>
    <xf numFmtId="0" fontId="15" fillId="0" borderId="2" xfId="0" applyFont="1" applyBorder="1" applyAlignment="1">
      <alignment horizontal="right" vertical="top" wrapText="1" indent="2"/>
    </xf>
    <xf numFmtId="0" fontId="15" fillId="0" borderId="2" xfId="0" applyFont="1" applyBorder="1" applyAlignment="1">
      <alignment horizontal="right" vertical="top" wrapText="1" indent="3"/>
    </xf>
    <xf numFmtId="44" fontId="15" fillId="0" borderId="2" xfId="1" applyFont="1" applyBorder="1" applyAlignment="1">
      <alignment horizontal="right" vertical="top" wrapText="1"/>
    </xf>
    <xf numFmtId="164" fontId="14" fillId="0" borderId="3" xfId="0" applyNumberFormat="1" applyFont="1" applyBorder="1" applyAlignment="1">
      <alignment horizontal="center" vertical="top" shrinkToFit="1"/>
    </xf>
    <xf numFmtId="1" fontId="14" fillId="0" borderId="3" xfId="0" applyNumberFormat="1" applyFont="1" applyBorder="1" applyAlignment="1">
      <alignment horizontal="left" vertical="top" indent="1" shrinkToFit="1"/>
    </xf>
    <xf numFmtId="0" fontId="15" fillId="0" borderId="3" xfId="0" applyFont="1" applyBorder="1" applyAlignment="1">
      <alignment horizontal="left" vertical="top" wrapText="1" indent="2"/>
    </xf>
    <xf numFmtId="0" fontId="15" fillId="0" borderId="3" xfId="0" applyFont="1" applyBorder="1" applyAlignment="1">
      <alignment horizontal="right" vertical="top" wrapText="1" indent="2"/>
    </xf>
    <xf numFmtId="0" fontId="15" fillId="0" borderId="3" xfId="0" applyFont="1" applyBorder="1" applyAlignment="1">
      <alignment horizontal="right" vertical="top" wrapText="1" indent="3"/>
    </xf>
    <xf numFmtId="1" fontId="14" fillId="0" borderId="3" xfId="0" applyNumberFormat="1" applyFont="1" applyBorder="1" applyAlignment="1">
      <alignment horizontal="center" vertical="top" shrinkToFit="1"/>
    </xf>
    <xf numFmtId="1" fontId="14" fillId="0" borderId="0" xfId="0" applyNumberFormat="1" applyFont="1" applyAlignment="1">
      <alignment horizontal="center" vertical="top" shrinkToFit="1"/>
    </xf>
    <xf numFmtId="1" fontId="14" fillId="0" borderId="0" xfId="0" applyNumberFormat="1" applyFont="1" applyAlignment="1">
      <alignment horizontal="left" vertical="top" indent="1" shrinkToFit="1"/>
    </xf>
    <xf numFmtId="0" fontId="15" fillId="0" borderId="0" xfId="0" applyFont="1" applyAlignment="1">
      <alignment horizontal="left" vertical="top" wrapText="1" indent="2"/>
    </xf>
    <xf numFmtId="1" fontId="14" fillId="0" borderId="0" xfId="0" applyNumberFormat="1" applyFont="1" applyAlignment="1">
      <alignment horizontal="left" vertical="top" indent="2" shrinkToFit="1"/>
    </xf>
    <xf numFmtId="0" fontId="15" fillId="0" borderId="0" xfId="0" applyFont="1" applyAlignment="1">
      <alignment horizontal="left" vertical="top" wrapText="1" indent="1"/>
    </xf>
    <xf numFmtId="0" fontId="15" fillId="0" borderId="0" xfId="0" applyFont="1" applyAlignment="1">
      <alignment horizontal="right" vertical="top" wrapText="1" indent="2"/>
    </xf>
    <xf numFmtId="10" fontId="14" fillId="0" borderId="0" xfId="0" applyNumberFormat="1" applyFont="1" applyAlignment="1">
      <alignment horizontal="center" vertical="top" shrinkToFit="1"/>
    </xf>
    <xf numFmtId="0" fontId="15" fillId="0" borderId="0" xfId="0" applyFont="1" applyAlignment="1">
      <alignment horizontal="right" vertical="top" wrapText="1" indent="3"/>
    </xf>
    <xf numFmtId="44" fontId="15" fillId="0" borderId="0" xfId="1" applyFont="1" applyBorder="1" applyAlignment="1">
      <alignment horizontal="right" vertical="top" wrapText="1"/>
    </xf>
    <xf numFmtId="0" fontId="3" fillId="3" borderId="1" xfId="0" applyFont="1" applyFill="1" applyBorder="1" applyAlignment="1">
      <alignment horizontal="left" vertical="top" wrapText="1" indent="1"/>
    </xf>
    <xf numFmtId="0" fontId="3" fillId="3" borderId="1" xfId="0" applyFont="1" applyFill="1" applyBorder="1" applyAlignment="1">
      <alignment horizontal="left" vertical="top" wrapText="1" indent="2"/>
    </xf>
    <xf numFmtId="0" fontId="3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right" vertical="top" wrapText="1" indent="2"/>
    </xf>
    <xf numFmtId="0" fontId="3" fillId="3" borderId="1" xfId="0" applyFont="1" applyFill="1" applyBorder="1" applyAlignment="1">
      <alignment horizontal="right" vertical="top" wrapText="1" indent="3"/>
    </xf>
    <xf numFmtId="0" fontId="3" fillId="3" borderId="1" xfId="0" applyFont="1" applyFill="1" applyBorder="1" applyAlignment="1">
      <alignment horizontal="right" vertical="top" wrapText="1"/>
    </xf>
    <xf numFmtId="0" fontId="1" fillId="2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1" fontId="14" fillId="0" borderId="3" xfId="0" applyNumberFormat="1" applyFont="1" applyBorder="1" applyAlignment="1">
      <alignment horizontal="left" vertical="top" indent="2" shrinkToFit="1"/>
    </xf>
    <xf numFmtId="0" fontId="15" fillId="0" borderId="3" xfId="0" applyFont="1" applyBorder="1" applyAlignment="1">
      <alignment horizontal="left" vertical="top" wrapText="1" indent="1"/>
    </xf>
    <xf numFmtId="10" fontId="14" fillId="0" borderId="3" xfId="0" applyNumberFormat="1" applyFont="1" applyBorder="1" applyAlignment="1">
      <alignment horizontal="center" vertical="top" shrinkToFit="1"/>
    </xf>
    <xf numFmtId="1" fontId="14" fillId="0" borderId="2" xfId="0" applyNumberFormat="1" applyFont="1" applyBorder="1" applyAlignment="1">
      <alignment horizontal="left" vertical="top" indent="2" shrinkToFit="1"/>
    </xf>
    <xf numFmtId="0" fontId="15" fillId="0" borderId="2" xfId="0" applyFont="1" applyBorder="1" applyAlignment="1">
      <alignment horizontal="left" vertical="top" wrapText="1" indent="1"/>
    </xf>
    <xf numFmtId="10" fontId="14" fillId="0" borderId="2" xfId="0" applyNumberFormat="1" applyFont="1" applyBorder="1" applyAlignment="1">
      <alignment horizontal="center" vertical="top" shrinkToFit="1"/>
    </xf>
    <xf numFmtId="0" fontId="3" fillId="3" borderId="1" xfId="0" applyFont="1" applyFill="1" applyBorder="1" applyAlignment="1">
      <alignment horizontal="left" vertical="top" wrapText="1" indent="2"/>
    </xf>
    <xf numFmtId="0" fontId="3" fillId="3" borderId="1" xfId="0" applyFont="1" applyFill="1" applyBorder="1" applyAlignment="1">
      <alignment horizontal="left" vertical="top" wrapText="1" indent="1"/>
    </xf>
    <xf numFmtId="0" fontId="3" fillId="3" borderId="1" xfId="0" applyFont="1" applyFill="1" applyBorder="1" applyAlignment="1">
      <alignment horizontal="center" vertical="top" wrapText="1"/>
    </xf>
    <xf numFmtId="0" fontId="7" fillId="0" borderId="0" xfId="0" applyFont="1" applyAlignment="1">
      <alignment horizontal="right" vertical="top" wrapText="1"/>
    </xf>
    <xf numFmtId="0" fontId="12" fillId="2" borderId="0" xfId="0" applyFont="1" applyFill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 indent="2"/>
    </xf>
    <xf numFmtId="0" fontId="2" fillId="0" borderId="0" xfId="0" applyFont="1" applyAlignment="1">
      <alignment horizontal="left" vertical="top" wrapText="1" indent="7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76835</xdr:colOff>
      <xdr:row>3</xdr:row>
      <xdr:rowOff>6350</xdr:rowOff>
    </xdr:from>
    <xdr:ext cx="9982200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810260" y="1930400"/>
          <a:ext cx="9982200" cy="0"/>
        </a:xfrm>
        <a:custGeom>
          <a:avLst/>
          <a:gdLst/>
          <a:ahLst/>
          <a:cxnLst/>
          <a:rect l="0" t="0" r="0" b="0"/>
          <a:pathLst>
            <a:path w="9982200">
              <a:moveTo>
                <a:pt x="0" y="0"/>
              </a:moveTo>
              <a:lnTo>
                <a:pt x="9982200" y="0"/>
              </a:lnTo>
            </a:path>
          </a:pathLst>
        </a:custGeom>
        <a:ln w="12700">
          <a:solidFill>
            <a:srgbClr val="7E3162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adriana.assuncao@daju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tabSelected="1" workbookViewId="0">
      <selection activeCell="C5" sqref="C5"/>
    </sheetView>
  </sheetViews>
  <sheetFormatPr defaultRowHeight="12.75"/>
  <cols>
    <col min="1" max="1" width="12.83203125" customWidth="1"/>
    <col min="2" max="2" width="16.5" customWidth="1"/>
    <col min="3" max="3" width="18.6640625" customWidth="1"/>
    <col min="4" max="4" width="1.1640625" customWidth="1"/>
    <col min="5" max="5" width="17.83203125" customWidth="1"/>
    <col min="6" max="6" width="103.83203125" customWidth="1"/>
    <col min="7" max="7" width="9.1640625" customWidth="1"/>
    <col min="8" max="8" width="7.1640625" customWidth="1"/>
    <col min="9" max="9" width="13.1640625" customWidth="1"/>
    <col min="10" max="10" width="16.6640625" customWidth="1"/>
    <col min="11" max="11" width="3.5" customWidth="1"/>
    <col min="12" max="12" width="8.5" customWidth="1"/>
    <col min="13" max="13" width="11.5" customWidth="1"/>
    <col min="14" max="14" width="17.6640625" customWidth="1"/>
    <col min="15" max="15" width="14.1640625" customWidth="1"/>
    <col min="16" max="16" width="11.1640625" customWidth="1"/>
  </cols>
  <sheetData>
    <row r="1" spans="1:16" ht="84" customHeight="1">
      <c r="A1" s="31" t="s">
        <v>4</v>
      </c>
      <c r="B1" s="31"/>
      <c r="C1" s="31"/>
      <c r="D1" s="31"/>
      <c r="E1" s="31"/>
      <c r="F1" s="31"/>
      <c r="G1" s="31"/>
      <c r="H1" s="41" t="s">
        <v>59</v>
      </c>
      <c r="I1" s="41"/>
      <c r="J1" s="41"/>
      <c r="K1" s="41"/>
      <c r="L1" s="41"/>
      <c r="M1" s="41"/>
      <c r="N1" s="41"/>
      <c r="O1" s="41"/>
      <c r="P1" s="41"/>
    </row>
    <row r="2" spans="1:16" ht="19.350000000000001" customHeight="1">
      <c r="A2" s="42" t="s">
        <v>3</v>
      </c>
      <c r="B2" s="42"/>
      <c r="C2" s="42"/>
      <c r="D2" s="42"/>
      <c r="G2" s="30"/>
      <c r="H2" s="30"/>
      <c r="I2" s="30"/>
      <c r="J2" s="30"/>
      <c r="K2" s="30"/>
      <c r="M2" s="30" t="s">
        <v>0</v>
      </c>
      <c r="N2" s="30"/>
      <c r="O2" s="30"/>
      <c r="P2" s="30"/>
    </row>
    <row r="3" spans="1:16" ht="48.75" customHeight="1">
      <c r="A3" s="43" t="s">
        <v>47</v>
      </c>
      <c r="B3" s="43"/>
      <c r="C3" s="43"/>
      <c r="D3" s="43"/>
      <c r="E3" s="43"/>
      <c r="F3" s="43"/>
      <c r="G3" s="44"/>
      <c r="H3" s="44"/>
      <c r="I3" s="44"/>
      <c r="J3" s="44"/>
      <c r="K3" s="44"/>
      <c r="L3" s="45" t="s">
        <v>1</v>
      </c>
      <c r="M3" s="45"/>
      <c r="N3" s="45"/>
      <c r="O3" s="45"/>
      <c r="P3" s="45"/>
    </row>
    <row r="4" spans="1:16" ht="0.95" customHeight="1"/>
    <row r="5" spans="1:16" ht="21.75" customHeight="1">
      <c r="A5" s="1"/>
      <c r="B5" s="24" t="s">
        <v>48</v>
      </c>
      <c r="C5" s="25" t="s">
        <v>49</v>
      </c>
      <c r="D5" s="38" t="s">
        <v>50</v>
      </c>
      <c r="E5" s="38"/>
      <c r="F5" s="25" t="s">
        <v>51</v>
      </c>
      <c r="G5" s="39" t="s">
        <v>52</v>
      </c>
      <c r="H5" s="39"/>
      <c r="I5" s="26" t="s">
        <v>53</v>
      </c>
      <c r="J5" s="27" t="s">
        <v>54</v>
      </c>
      <c r="K5" s="40" t="s">
        <v>55</v>
      </c>
      <c r="L5" s="40"/>
      <c r="M5" s="27" t="s">
        <v>56</v>
      </c>
      <c r="N5" s="28" t="s">
        <v>57</v>
      </c>
      <c r="O5" s="29" t="s">
        <v>58</v>
      </c>
    </row>
    <row r="6" spans="1:16" ht="18.75" customHeight="1">
      <c r="A6" s="2">
        <v>1</v>
      </c>
      <c r="B6" s="3">
        <v>271626</v>
      </c>
      <c r="C6" s="4" t="s">
        <v>24</v>
      </c>
      <c r="D6" s="35">
        <v>7901045304456</v>
      </c>
      <c r="E6" s="35"/>
      <c r="F6" s="4" t="s">
        <v>5</v>
      </c>
      <c r="G6" s="36" t="s">
        <v>25</v>
      </c>
      <c r="H6" s="36"/>
      <c r="I6" s="5">
        <v>300</v>
      </c>
      <c r="J6" s="6" t="s">
        <v>26</v>
      </c>
      <c r="K6" s="37">
        <v>0</v>
      </c>
      <c r="L6" s="37"/>
      <c r="M6" s="6" t="s">
        <v>27</v>
      </c>
      <c r="N6" s="7" t="s">
        <v>27</v>
      </c>
      <c r="O6" s="8">
        <f>I6*J6</f>
        <v>4836</v>
      </c>
    </row>
    <row r="7" spans="1:16" ht="18.75" customHeight="1">
      <c r="A7" s="9">
        <v>2</v>
      </c>
      <c r="B7" s="10">
        <v>271627</v>
      </c>
      <c r="C7" s="11" t="s">
        <v>28</v>
      </c>
      <c r="D7" s="32">
        <v>7901045304425</v>
      </c>
      <c r="E7" s="32"/>
      <c r="F7" s="11" t="s">
        <v>6</v>
      </c>
      <c r="G7" s="33" t="s">
        <v>25</v>
      </c>
      <c r="H7" s="33"/>
      <c r="I7" s="5">
        <v>300</v>
      </c>
      <c r="J7" s="12" t="s">
        <v>26</v>
      </c>
      <c r="K7" s="34">
        <v>0</v>
      </c>
      <c r="L7" s="34"/>
      <c r="M7" s="12" t="s">
        <v>27</v>
      </c>
      <c r="N7" s="13" t="s">
        <v>27</v>
      </c>
      <c r="O7" s="8">
        <f t="shared" ref="O7:O23" si="0">I7*J7</f>
        <v>4836</v>
      </c>
    </row>
    <row r="8" spans="1:16" ht="18.75" customHeight="1">
      <c r="A8" s="9">
        <v>3</v>
      </c>
      <c r="B8" s="10">
        <v>271628</v>
      </c>
      <c r="C8" s="11" t="s">
        <v>29</v>
      </c>
      <c r="D8" s="32">
        <v>7901045304470</v>
      </c>
      <c r="E8" s="32"/>
      <c r="F8" s="11" t="s">
        <v>7</v>
      </c>
      <c r="G8" s="33" t="s">
        <v>25</v>
      </c>
      <c r="H8" s="33"/>
      <c r="I8" s="5">
        <v>300</v>
      </c>
      <c r="J8" s="12" t="s">
        <v>26</v>
      </c>
      <c r="K8" s="34">
        <v>0</v>
      </c>
      <c r="L8" s="34"/>
      <c r="M8" s="12" t="s">
        <v>27</v>
      </c>
      <c r="N8" s="13" t="s">
        <v>27</v>
      </c>
      <c r="O8" s="8">
        <f t="shared" si="0"/>
        <v>4836</v>
      </c>
    </row>
    <row r="9" spans="1:16" ht="18.75" customHeight="1">
      <c r="A9" s="9">
        <v>4</v>
      </c>
      <c r="B9" s="10">
        <v>271629</v>
      </c>
      <c r="C9" s="11" t="s">
        <v>30</v>
      </c>
      <c r="D9" s="32">
        <v>7901045304449</v>
      </c>
      <c r="E9" s="32"/>
      <c r="F9" s="11" t="s">
        <v>8</v>
      </c>
      <c r="G9" s="33" t="s">
        <v>25</v>
      </c>
      <c r="H9" s="33"/>
      <c r="I9" s="5">
        <v>300</v>
      </c>
      <c r="J9" s="12" t="s">
        <v>26</v>
      </c>
      <c r="K9" s="34">
        <v>0</v>
      </c>
      <c r="L9" s="34"/>
      <c r="M9" s="12" t="s">
        <v>27</v>
      </c>
      <c r="N9" s="13" t="s">
        <v>27</v>
      </c>
      <c r="O9" s="8">
        <f t="shared" si="0"/>
        <v>4836</v>
      </c>
    </row>
    <row r="10" spans="1:16" ht="18.75" customHeight="1">
      <c r="A10" s="9">
        <v>5</v>
      </c>
      <c r="B10" s="10">
        <v>271630</v>
      </c>
      <c r="C10" s="11" t="s">
        <v>31</v>
      </c>
      <c r="D10" s="32">
        <v>7901045304463</v>
      </c>
      <c r="E10" s="32"/>
      <c r="F10" s="11" t="s">
        <v>9</v>
      </c>
      <c r="G10" s="33" t="s">
        <v>25</v>
      </c>
      <c r="H10" s="33"/>
      <c r="I10" s="5">
        <v>300</v>
      </c>
      <c r="J10" s="12" t="s">
        <v>26</v>
      </c>
      <c r="K10" s="34">
        <v>0</v>
      </c>
      <c r="L10" s="34"/>
      <c r="M10" s="12" t="s">
        <v>27</v>
      </c>
      <c r="N10" s="13" t="s">
        <v>27</v>
      </c>
      <c r="O10" s="8">
        <f t="shared" si="0"/>
        <v>4836</v>
      </c>
    </row>
    <row r="11" spans="1:16" ht="18.75" customHeight="1">
      <c r="A11" s="9">
        <v>6</v>
      </c>
      <c r="B11" s="10">
        <v>271631</v>
      </c>
      <c r="C11" s="11" t="s">
        <v>32</v>
      </c>
      <c r="D11" s="32">
        <v>7901045304432</v>
      </c>
      <c r="E11" s="32"/>
      <c r="F11" s="11" t="s">
        <v>10</v>
      </c>
      <c r="G11" s="33" t="s">
        <v>25</v>
      </c>
      <c r="H11" s="33"/>
      <c r="I11" s="5">
        <v>300</v>
      </c>
      <c r="J11" s="12" t="s">
        <v>26</v>
      </c>
      <c r="K11" s="34">
        <v>0</v>
      </c>
      <c r="L11" s="34"/>
      <c r="M11" s="12" t="s">
        <v>27</v>
      </c>
      <c r="N11" s="13" t="s">
        <v>27</v>
      </c>
      <c r="O11" s="8">
        <f t="shared" si="0"/>
        <v>4836</v>
      </c>
    </row>
    <row r="12" spans="1:16" ht="18.75" customHeight="1">
      <c r="A12" s="9">
        <v>7</v>
      </c>
      <c r="B12" s="10">
        <v>271650</v>
      </c>
      <c r="C12" s="11" t="s">
        <v>33</v>
      </c>
      <c r="D12" s="32">
        <v>7901045304395</v>
      </c>
      <c r="E12" s="32"/>
      <c r="F12" s="11" t="s">
        <v>11</v>
      </c>
      <c r="G12" s="33" t="s">
        <v>25</v>
      </c>
      <c r="H12" s="33"/>
      <c r="I12" s="5">
        <v>300</v>
      </c>
      <c r="J12" s="12" t="s">
        <v>34</v>
      </c>
      <c r="K12" s="34">
        <v>0</v>
      </c>
      <c r="L12" s="34"/>
      <c r="M12" s="12" t="s">
        <v>27</v>
      </c>
      <c r="N12" s="13" t="s">
        <v>27</v>
      </c>
      <c r="O12" s="8">
        <f t="shared" si="0"/>
        <v>4317</v>
      </c>
    </row>
    <row r="13" spans="1:16" ht="18.75" customHeight="1">
      <c r="A13" s="9">
        <v>8</v>
      </c>
      <c r="B13" s="10">
        <v>271651</v>
      </c>
      <c r="C13" s="11" t="s">
        <v>35</v>
      </c>
      <c r="D13" s="32">
        <v>7901045304364</v>
      </c>
      <c r="E13" s="32"/>
      <c r="F13" s="11" t="s">
        <v>12</v>
      </c>
      <c r="G13" s="33" t="s">
        <v>25</v>
      </c>
      <c r="H13" s="33"/>
      <c r="I13" s="5">
        <v>300</v>
      </c>
      <c r="J13" s="12" t="s">
        <v>34</v>
      </c>
      <c r="K13" s="34">
        <v>0</v>
      </c>
      <c r="L13" s="34"/>
      <c r="M13" s="12" t="s">
        <v>27</v>
      </c>
      <c r="N13" s="13" t="s">
        <v>27</v>
      </c>
      <c r="O13" s="8">
        <f t="shared" si="0"/>
        <v>4317</v>
      </c>
    </row>
    <row r="14" spans="1:16" ht="18.75" customHeight="1">
      <c r="A14" s="9">
        <v>9</v>
      </c>
      <c r="B14" s="10">
        <v>271652</v>
      </c>
      <c r="C14" s="11" t="s">
        <v>36</v>
      </c>
      <c r="D14" s="32">
        <v>7901045304418</v>
      </c>
      <c r="E14" s="32"/>
      <c r="F14" s="11" t="s">
        <v>13</v>
      </c>
      <c r="G14" s="33" t="s">
        <v>25</v>
      </c>
      <c r="H14" s="33"/>
      <c r="I14" s="5">
        <v>300</v>
      </c>
      <c r="J14" s="12" t="s">
        <v>34</v>
      </c>
      <c r="K14" s="34">
        <v>0</v>
      </c>
      <c r="L14" s="34"/>
      <c r="M14" s="12" t="s">
        <v>27</v>
      </c>
      <c r="N14" s="13" t="s">
        <v>27</v>
      </c>
      <c r="O14" s="8">
        <f t="shared" si="0"/>
        <v>4317</v>
      </c>
    </row>
    <row r="15" spans="1:16" ht="18.75" customHeight="1">
      <c r="A15" s="14">
        <v>10</v>
      </c>
      <c r="B15" s="10">
        <v>271653</v>
      </c>
      <c r="C15" s="11" t="s">
        <v>37</v>
      </c>
      <c r="D15" s="32">
        <v>7901045304388</v>
      </c>
      <c r="E15" s="32"/>
      <c r="F15" s="11" t="s">
        <v>14</v>
      </c>
      <c r="G15" s="33" t="s">
        <v>25</v>
      </c>
      <c r="H15" s="33"/>
      <c r="I15" s="5">
        <v>300</v>
      </c>
      <c r="J15" s="12" t="s">
        <v>34</v>
      </c>
      <c r="K15" s="34">
        <v>0</v>
      </c>
      <c r="L15" s="34"/>
      <c r="M15" s="12" t="s">
        <v>27</v>
      </c>
      <c r="N15" s="13" t="s">
        <v>27</v>
      </c>
      <c r="O15" s="8">
        <f t="shared" si="0"/>
        <v>4317</v>
      </c>
    </row>
    <row r="16" spans="1:16" ht="18.75" customHeight="1">
      <c r="A16" s="14">
        <v>11</v>
      </c>
      <c r="B16" s="10">
        <v>271654</v>
      </c>
      <c r="C16" s="11" t="s">
        <v>38</v>
      </c>
      <c r="D16" s="32">
        <v>7901045304401</v>
      </c>
      <c r="E16" s="32"/>
      <c r="F16" s="11" t="s">
        <v>15</v>
      </c>
      <c r="G16" s="33" t="s">
        <v>25</v>
      </c>
      <c r="H16" s="33"/>
      <c r="I16" s="5">
        <v>300</v>
      </c>
      <c r="J16" s="12" t="s">
        <v>34</v>
      </c>
      <c r="K16" s="34">
        <v>0</v>
      </c>
      <c r="L16" s="34"/>
      <c r="M16" s="12" t="s">
        <v>27</v>
      </c>
      <c r="N16" s="13" t="s">
        <v>27</v>
      </c>
      <c r="O16" s="8">
        <f t="shared" si="0"/>
        <v>4317</v>
      </c>
    </row>
    <row r="17" spans="1:16" ht="18.75" customHeight="1">
      <c r="A17" s="14">
        <v>12</v>
      </c>
      <c r="B17" s="10">
        <v>271655</v>
      </c>
      <c r="C17" s="11" t="s">
        <v>39</v>
      </c>
      <c r="D17" s="32">
        <v>7901045304371</v>
      </c>
      <c r="E17" s="32"/>
      <c r="F17" s="11" t="s">
        <v>16</v>
      </c>
      <c r="G17" s="33" t="s">
        <v>25</v>
      </c>
      <c r="H17" s="33"/>
      <c r="I17" s="5">
        <v>300</v>
      </c>
      <c r="J17" s="12" t="s">
        <v>34</v>
      </c>
      <c r="K17" s="34">
        <v>0</v>
      </c>
      <c r="L17" s="34"/>
      <c r="M17" s="12" t="s">
        <v>27</v>
      </c>
      <c r="N17" s="13" t="s">
        <v>27</v>
      </c>
      <c r="O17" s="8">
        <f t="shared" si="0"/>
        <v>4317</v>
      </c>
    </row>
    <row r="18" spans="1:16" ht="18.75" customHeight="1">
      <c r="A18" s="14">
        <v>13</v>
      </c>
      <c r="B18" s="10">
        <v>271656</v>
      </c>
      <c r="C18" s="11" t="s">
        <v>40</v>
      </c>
      <c r="D18" s="32">
        <v>7901045304333</v>
      </c>
      <c r="E18" s="32"/>
      <c r="F18" s="11" t="s">
        <v>17</v>
      </c>
      <c r="G18" s="33" t="s">
        <v>25</v>
      </c>
      <c r="H18" s="33"/>
      <c r="I18" s="5">
        <v>300</v>
      </c>
      <c r="J18" s="12" t="s">
        <v>41</v>
      </c>
      <c r="K18" s="34">
        <v>0</v>
      </c>
      <c r="L18" s="34"/>
      <c r="M18" s="12" t="s">
        <v>27</v>
      </c>
      <c r="N18" s="13" t="s">
        <v>27</v>
      </c>
      <c r="O18" s="8">
        <f t="shared" si="0"/>
        <v>3669</v>
      </c>
    </row>
    <row r="19" spans="1:16" ht="18.75" customHeight="1">
      <c r="A19" s="5">
        <v>14</v>
      </c>
      <c r="B19" s="3">
        <v>271657</v>
      </c>
      <c r="C19" s="4" t="s">
        <v>42</v>
      </c>
      <c r="D19" s="35">
        <v>7901045304296</v>
      </c>
      <c r="E19" s="35"/>
      <c r="F19" s="4" t="s">
        <v>18</v>
      </c>
      <c r="G19" s="36" t="s">
        <v>25</v>
      </c>
      <c r="H19" s="36"/>
      <c r="I19" s="5">
        <v>300</v>
      </c>
      <c r="J19" s="6" t="s">
        <v>41</v>
      </c>
      <c r="K19" s="37">
        <v>0</v>
      </c>
      <c r="L19" s="37"/>
      <c r="M19" s="6" t="s">
        <v>27</v>
      </c>
      <c r="N19" s="7" t="s">
        <v>27</v>
      </c>
      <c r="O19" s="8">
        <f t="shared" si="0"/>
        <v>3669</v>
      </c>
    </row>
    <row r="20" spans="1:16" ht="22.5" customHeight="1">
      <c r="A20" s="14">
        <v>15</v>
      </c>
      <c r="B20" s="10">
        <v>271658</v>
      </c>
      <c r="C20" s="11" t="s">
        <v>43</v>
      </c>
      <c r="D20" s="32">
        <v>7901045304357</v>
      </c>
      <c r="E20" s="32"/>
      <c r="F20" s="11" t="s">
        <v>19</v>
      </c>
      <c r="G20" s="33" t="s">
        <v>25</v>
      </c>
      <c r="H20" s="33"/>
      <c r="I20" s="5">
        <v>300</v>
      </c>
      <c r="J20" s="12" t="s">
        <v>41</v>
      </c>
      <c r="K20" s="34">
        <v>0</v>
      </c>
      <c r="L20" s="34"/>
      <c r="M20" s="12" t="s">
        <v>27</v>
      </c>
      <c r="N20" s="13" t="s">
        <v>27</v>
      </c>
      <c r="O20" s="8">
        <f t="shared" si="0"/>
        <v>3669</v>
      </c>
    </row>
    <row r="21" spans="1:16" ht="18.75" customHeight="1">
      <c r="A21" s="14">
        <v>16</v>
      </c>
      <c r="B21" s="10">
        <v>271659</v>
      </c>
      <c r="C21" s="11" t="s">
        <v>44</v>
      </c>
      <c r="D21" s="32">
        <v>7901045304319</v>
      </c>
      <c r="E21" s="32"/>
      <c r="F21" s="11" t="s">
        <v>20</v>
      </c>
      <c r="G21" s="33" t="s">
        <v>25</v>
      </c>
      <c r="H21" s="33"/>
      <c r="I21" s="5">
        <v>300</v>
      </c>
      <c r="J21" s="12" t="s">
        <v>41</v>
      </c>
      <c r="K21" s="34">
        <v>0</v>
      </c>
      <c r="L21" s="34"/>
      <c r="M21" s="12" t="s">
        <v>27</v>
      </c>
      <c r="N21" s="13" t="s">
        <v>27</v>
      </c>
      <c r="O21" s="8">
        <f t="shared" si="0"/>
        <v>3669</v>
      </c>
    </row>
    <row r="22" spans="1:16" ht="18.75" customHeight="1">
      <c r="A22" s="14">
        <v>17</v>
      </c>
      <c r="B22" s="10">
        <v>271660</v>
      </c>
      <c r="C22" s="11" t="s">
        <v>45</v>
      </c>
      <c r="D22" s="32">
        <v>7901045304340</v>
      </c>
      <c r="E22" s="32"/>
      <c r="F22" s="11" t="s">
        <v>21</v>
      </c>
      <c r="G22" s="33" t="s">
        <v>25</v>
      </c>
      <c r="H22" s="33"/>
      <c r="I22" s="5">
        <v>300</v>
      </c>
      <c r="J22" s="12" t="s">
        <v>41</v>
      </c>
      <c r="K22" s="34">
        <v>0</v>
      </c>
      <c r="L22" s="34"/>
      <c r="M22" s="12" t="s">
        <v>27</v>
      </c>
      <c r="N22" s="13" t="s">
        <v>27</v>
      </c>
      <c r="O22" s="8">
        <f t="shared" si="0"/>
        <v>3669</v>
      </c>
    </row>
    <row r="23" spans="1:16" ht="18.75" customHeight="1">
      <c r="A23" s="14">
        <v>18</v>
      </c>
      <c r="B23" s="10">
        <v>271661</v>
      </c>
      <c r="C23" s="11" t="s">
        <v>46</v>
      </c>
      <c r="D23" s="32">
        <v>7901045304302</v>
      </c>
      <c r="E23" s="32"/>
      <c r="F23" s="11" t="s">
        <v>22</v>
      </c>
      <c r="G23" s="33" t="s">
        <v>25</v>
      </c>
      <c r="H23" s="33"/>
      <c r="I23" s="5">
        <v>300</v>
      </c>
      <c r="J23" s="12" t="s">
        <v>41</v>
      </c>
      <c r="K23" s="34">
        <v>0</v>
      </c>
      <c r="L23" s="34"/>
      <c r="M23" s="12" t="s">
        <v>27</v>
      </c>
      <c r="N23" s="13" t="s">
        <v>27</v>
      </c>
      <c r="O23" s="8">
        <f t="shared" si="0"/>
        <v>3669</v>
      </c>
    </row>
    <row r="24" spans="1:16" ht="18.75" customHeight="1">
      <c r="A24" s="15"/>
      <c r="B24" s="16"/>
      <c r="C24" s="17"/>
      <c r="D24" s="18"/>
      <c r="E24" s="18"/>
      <c r="F24" s="17"/>
      <c r="G24" s="19"/>
      <c r="H24" s="19"/>
      <c r="I24" s="15"/>
      <c r="J24" s="20"/>
      <c r="K24" s="21"/>
      <c r="L24" s="21"/>
      <c r="M24" s="20"/>
      <c r="N24" s="22"/>
      <c r="O24" s="23">
        <f>SUM(O6:O23)</f>
        <v>76932</v>
      </c>
    </row>
    <row r="25" spans="1:16" ht="15" customHeight="1">
      <c r="A25" s="30" t="s">
        <v>2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</row>
    <row r="26" spans="1:16" ht="102.75" customHeight="1">
      <c r="A26" s="31" t="s">
        <v>23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</row>
  </sheetData>
  <autoFilter ref="A5:P26" xr:uid="{00000000-0001-0000-0000-000000000000}">
    <filterColumn colId="3" showButton="0"/>
    <filterColumn colId="5" showButton="0"/>
    <filterColumn colId="6" showButton="0"/>
    <filterColumn colId="10" showButton="0"/>
  </autoFilter>
  <mergeCells count="67">
    <mergeCell ref="D5:E5"/>
    <mergeCell ref="G5:H5"/>
    <mergeCell ref="K5:L5"/>
    <mergeCell ref="A1:G1"/>
    <mergeCell ref="H1:P1"/>
    <mergeCell ref="A2:D2"/>
    <mergeCell ref="A3:F3"/>
    <mergeCell ref="G3:K3"/>
    <mergeCell ref="L3:P3"/>
    <mergeCell ref="D8:E8"/>
    <mergeCell ref="G8:H8"/>
    <mergeCell ref="K8:L8"/>
    <mergeCell ref="D6:E6"/>
    <mergeCell ref="G6:H6"/>
    <mergeCell ref="K6:L6"/>
    <mergeCell ref="D7:E7"/>
    <mergeCell ref="G7:H7"/>
    <mergeCell ref="K7:L7"/>
    <mergeCell ref="D10:E10"/>
    <mergeCell ref="G10:H10"/>
    <mergeCell ref="K10:L10"/>
    <mergeCell ref="D9:E9"/>
    <mergeCell ref="G9:H9"/>
    <mergeCell ref="K9:L9"/>
    <mergeCell ref="D13:E13"/>
    <mergeCell ref="G13:H13"/>
    <mergeCell ref="K13:L13"/>
    <mergeCell ref="D11:E11"/>
    <mergeCell ref="G11:H11"/>
    <mergeCell ref="K11:L11"/>
    <mergeCell ref="D12:E12"/>
    <mergeCell ref="G12:H12"/>
    <mergeCell ref="K12:L12"/>
    <mergeCell ref="D15:E15"/>
    <mergeCell ref="G15:H15"/>
    <mergeCell ref="K15:L15"/>
    <mergeCell ref="D14:E14"/>
    <mergeCell ref="G14:H14"/>
    <mergeCell ref="K14:L14"/>
    <mergeCell ref="D16:E16"/>
    <mergeCell ref="G16:H16"/>
    <mergeCell ref="K16:L16"/>
    <mergeCell ref="D17:E17"/>
    <mergeCell ref="G17:H17"/>
    <mergeCell ref="K17:L17"/>
    <mergeCell ref="D20:E20"/>
    <mergeCell ref="G20:H20"/>
    <mergeCell ref="K20:L20"/>
    <mergeCell ref="D18:E18"/>
    <mergeCell ref="G18:H18"/>
    <mergeCell ref="K18:L18"/>
    <mergeCell ref="A25:O25"/>
    <mergeCell ref="A26:P26"/>
    <mergeCell ref="M2:P2"/>
    <mergeCell ref="G2:K2"/>
    <mergeCell ref="D23:E23"/>
    <mergeCell ref="G23:H23"/>
    <mergeCell ref="K23:L23"/>
    <mergeCell ref="D22:E22"/>
    <mergeCell ref="G22:H22"/>
    <mergeCell ref="K22:L22"/>
    <mergeCell ref="D21:E21"/>
    <mergeCell ref="G21:H21"/>
    <mergeCell ref="K21:L21"/>
    <mergeCell ref="D19:E19"/>
    <mergeCell ref="G19:H19"/>
    <mergeCell ref="K19:L19"/>
  </mergeCells>
  <hyperlinks>
    <hyperlink ref="A1" r:id="rId1" display="mailto:adriana.assuncao@daju.com.br" xr:uid="{00000000-0004-0000-00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Baccan</dc:creator>
  <cp:lastModifiedBy>Camila Baccan</cp:lastModifiedBy>
  <dcterms:created xsi:type="dcterms:W3CDTF">2026-08-17T16:54:14Z</dcterms:created>
  <dcterms:modified xsi:type="dcterms:W3CDTF">2026-08-24T10:56:49Z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</Properties>
</file>