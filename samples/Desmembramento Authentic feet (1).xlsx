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66f066e68a1d63/Desktop/"/>
    </mc:Choice>
  </mc:AlternateContent>
  <xr:revisionPtr revIDLastSave="132" documentId="8_{9CA980D7-0587-4973-A261-2B7A94991A42}" xr6:coauthVersionLast="47" xr6:coauthVersionMax="47" xr10:uidLastSave="{1D5E630A-AD34-4E43-A5AA-982E50038206}"/>
  <bookViews>
    <workbookView xWindow="-108" yWindow="-108" windowWidth="23256" windowHeight="12456" xr2:uid="{033E27CC-4C2D-1149-9B58-57C8001D1DD4}"/>
  </bookViews>
  <sheets>
    <sheet name="Adul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6" i="1" l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5" i="1" s="1"/>
  <c r="AF8" i="1"/>
  <c r="AF7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AF4" i="1" l="1"/>
  <c r="AF3" i="1"/>
  <c r="K36" i="1" l="1"/>
  <c r="K35" i="1"/>
  <c r="K32" i="1"/>
  <c r="K31" i="1"/>
  <c r="K30" i="1"/>
  <c r="K29" i="1"/>
  <c r="K28" i="1"/>
  <c r="K22" i="1"/>
  <c r="K21" i="1"/>
  <c r="K20" i="1"/>
  <c r="K16" i="1"/>
  <c r="K15" i="1"/>
  <c r="K12" i="1"/>
  <c r="K11" i="1"/>
  <c r="K10" i="1"/>
  <c r="K25" i="1" l="1"/>
  <c r="K26" i="1"/>
  <c r="K34" i="1"/>
  <c r="K9" i="1" l="1"/>
  <c r="K8" i="1"/>
  <c r="K7" i="1"/>
  <c r="K27" i="1"/>
  <c r="K24" i="1"/>
  <c r="K19" i="1"/>
  <c r="K18" i="1"/>
  <c r="K17" i="1"/>
  <c r="K13" i="1"/>
  <c r="K23" i="1"/>
  <c r="K33" i="1"/>
  <c r="K14" i="1"/>
</calcChain>
</file>

<file path=xl/sharedStrings.xml><?xml version="1.0" encoding="utf-8"?>
<sst xmlns="http://schemas.openxmlformats.org/spreadsheetml/2006/main" count="212" uniqueCount="75">
  <si>
    <t>Meia Sapatilha</t>
  </si>
  <si>
    <t>Kit 3</t>
  </si>
  <si>
    <t>Meia Cano Medio</t>
  </si>
  <si>
    <t>Produto</t>
  </si>
  <si>
    <t>Apresentação</t>
  </si>
  <si>
    <t>Custo</t>
  </si>
  <si>
    <t>Kit 2</t>
  </si>
  <si>
    <t>Sugestão PDV</t>
  </si>
  <si>
    <t>Mark up</t>
  </si>
  <si>
    <t>Meia Cano Longo</t>
  </si>
  <si>
    <t>Cor</t>
  </si>
  <si>
    <t>Branco</t>
  </si>
  <si>
    <t>Preto</t>
  </si>
  <si>
    <t>Meia Extra Cano Longo</t>
  </si>
  <si>
    <t>Meia Cano Baixo Tec</t>
  </si>
  <si>
    <t>Branco/Cinza</t>
  </si>
  <si>
    <t>Tamanho</t>
  </si>
  <si>
    <t>Foto</t>
  </si>
  <si>
    <t>Sortido Bco/Cinza/Pto</t>
  </si>
  <si>
    <t>MARROM ESCURO</t>
  </si>
  <si>
    <t>VERDE</t>
  </si>
  <si>
    <t>MARROM/OFF WHITE</t>
  </si>
  <si>
    <t>VERDE/OFF WHITE</t>
  </si>
  <si>
    <t>Preto/Cinza</t>
  </si>
  <si>
    <t>Branco/Preto</t>
  </si>
  <si>
    <t>33-38</t>
  </si>
  <si>
    <t>39-44</t>
  </si>
  <si>
    <t>AFK3C-B-</t>
  </si>
  <si>
    <t>AFK3S-A-</t>
  </si>
  <si>
    <t>AFK3C-M-</t>
  </si>
  <si>
    <t>001</t>
  </si>
  <si>
    <t>CÓDIGO</t>
  </si>
  <si>
    <t>COR</t>
  </si>
  <si>
    <t>AFK3C-L-</t>
  </si>
  <si>
    <t>AFK2E-L-</t>
  </si>
  <si>
    <t>AF011</t>
  </si>
  <si>
    <t>SHOPPING CENTER NORTE</t>
  </si>
  <si>
    <t>AF013</t>
  </si>
  <si>
    <t>AF014</t>
  </si>
  <si>
    <t>AF017</t>
  </si>
  <si>
    <t>AF018</t>
  </si>
  <si>
    <t>SHOPPING PÁTIO HIGIENÓPOLIS</t>
  </si>
  <si>
    <t>MORUMBI SHOPPING</t>
  </si>
  <si>
    <t>BARRA SHOPPING RIO</t>
  </si>
  <si>
    <t>SHOPPING IGUATEMI CAMPINAS</t>
  </si>
  <si>
    <t>AF056</t>
  </si>
  <si>
    <t>AF059</t>
  </si>
  <si>
    <t>BOURBON SHOPPING</t>
  </si>
  <si>
    <t>SHOPPING PARQUE DOM PEDRO</t>
  </si>
  <si>
    <t>AF070</t>
  </si>
  <si>
    <t>NORTE SHOPPING</t>
  </si>
  <si>
    <t>AF100</t>
  </si>
  <si>
    <t>LOJA VIRTUAL</t>
  </si>
  <si>
    <t>AF127</t>
  </si>
  <si>
    <t>AF128</t>
  </si>
  <si>
    <t>SHOPPING RIO SUL</t>
  </si>
  <si>
    <t>SHOPPING TAGUATINGA</t>
  </si>
  <si>
    <t>AF165</t>
  </si>
  <si>
    <t>SHOPPING IBIRAPUERA II</t>
  </si>
  <si>
    <t>AF171</t>
  </si>
  <si>
    <t>AF172</t>
  </si>
  <si>
    <t>PÁTIO SHOPPING PAULISTA</t>
  </si>
  <si>
    <t>OSCAR FREIRE</t>
  </si>
  <si>
    <t>AF179</t>
  </si>
  <si>
    <t>JOCKEY PLAZA SHOPPING</t>
  </si>
  <si>
    <t>AF200</t>
  </si>
  <si>
    <t>SHOPPING PALLADIUM</t>
  </si>
  <si>
    <t>AF183</t>
  </si>
  <si>
    <t>AF184</t>
  </si>
  <si>
    <t>SHOPPING RECIFE</t>
  </si>
  <si>
    <t>RIOMAR ARACAJU</t>
  </si>
  <si>
    <t>AF198</t>
  </si>
  <si>
    <t>PARQUE SHOPPING MACEIÓ</t>
  </si>
  <si>
    <t>AF197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</si>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</sst>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 wrapText="1"/>
    </xf>
    <xf numFmtId="44" fontId="1" fillId="2" borderId="1" xfId="1" applyFont="1" applyFill="1" applyBorder="1" applyAlignment="1">
      <alignment horizontal="center" vertical="center" wrapText="1"/>
    </xf>
    <xf numFmtId="164" fontId="0" fillId="2" borderId="0" xfId="2" applyNumberFormat="1" applyFont="1" applyFill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1" xfId="3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2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4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1" fontId="3" fillId="0" borderId="2" xfId="0" applyNumberFormat="1" applyFon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 wrapText="1"/>
    </xf>
    <xf numFmtId="44" fontId="0" fillId="2" borderId="2" xfId="1" applyFont="1" applyFill="1" applyBorder="1" applyAlignment="1">
      <alignment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0" fillId="2" borderId="2" xfId="1" applyNumberFormat="1" applyFont="1" applyFill="1" applyBorder="1" applyAlignment="1">
      <alignment horizontal="center" vertical="center" wrapText="1"/>
    </xf>
  </cellXfs>
  <cellStyles count="5">
    <cellStyle name="Moeda" xfId="1" builtinId="4"/>
    <cellStyle name="Moeda 2" xfId="3" xr:uid="{80B93214-CDBA-4539-B5B4-6EFDD267DC9D}"/>
    <cellStyle name="Normal" xfId="0" builtinId="0"/>
    <cellStyle name="Vírgula" xfId="2" builtinId="3"/>
    <cellStyle name="Vírgula 2" xfId="4" xr:uid="{DD04AC81-A63D-4D0F-8EC3-4BD790BE5F26}"/>
  </cellStyles>
  <dxfs count="18"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ill>
        <patternFill>
          <fgColor theme="7" tint="0.79998168889431442"/>
          <bgColor theme="7" tint="0.79998168889431442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4" tint="0.59996337778862885"/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9" tint="0.79998168889431442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79998168889431442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166689</xdr:colOff>
      <xdr:row>6</xdr:row>
      <xdr:rowOff>100209</xdr:rowOff>
    </xdr:from>
    <xdr:to>
      <xdr:col>1</xdr:col>
      <xdr:colOff>1008064</xdr:colOff>
      <xdr:row>6</xdr:row>
      <xdr:rowOff>788779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9D34D5-E15B-0232-155C-06E347FAC77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5314" y="1687709"/>
          <a:ext cx="841375" cy="694920"/>
        </a:xfrm>
        <a:prstGeom prst="rect">
          <a:avLst/>
        </a:prstGeom>
      </xdr:spPr>
    </xdr:pic>
    <xdr:clientData/>
  </xdr:twoCellAnchor>
  <xdr:twoCellAnchor editAs="oneCell">
    <xdr:from>
      <xdr:col>1</xdr:col>
      <xdr:colOff>180800</xdr:colOff>
      <xdr:row>7</xdr:row>
      <xdr:rowOff>72138</xdr:rowOff>
    </xdr:from>
    <xdr:to>
      <xdr:col>1</xdr:col>
      <xdr:colOff>1022175</xdr:colOff>
      <xdr:row>7</xdr:row>
      <xdr:rowOff>770639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B5A1E32-2C1D-1952-D696-3B1E1B7E20D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9425" y="2572451"/>
          <a:ext cx="841375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166690</xdr:colOff>
      <xdr:row>8</xdr:row>
      <xdr:rowOff>58026</xdr:rowOff>
    </xdr:from>
    <xdr:to>
      <xdr:col>1</xdr:col>
      <xdr:colOff>1008065</xdr:colOff>
      <xdr:row>8</xdr:row>
      <xdr:rowOff>750177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9A08D90-08DE-3FE8-3FC3-BDF9055993D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5315" y="3471151"/>
          <a:ext cx="841375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124671</xdr:colOff>
      <xdr:row>12</xdr:row>
      <xdr:rowOff>58025</xdr:rowOff>
    </xdr:from>
    <xdr:to>
      <xdr:col>1</xdr:col>
      <xdr:colOff>969270</xdr:colOff>
      <xdr:row>12</xdr:row>
      <xdr:rowOff>750176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CF424CE-7086-F043-BEBD-C75E5BA00A2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96" y="9106775"/>
          <a:ext cx="84459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124671</xdr:colOff>
      <xdr:row>13</xdr:row>
      <xdr:rowOff>58026</xdr:rowOff>
    </xdr:from>
    <xdr:to>
      <xdr:col>1</xdr:col>
      <xdr:colOff>969270</xdr:colOff>
      <xdr:row>13</xdr:row>
      <xdr:rowOff>750177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27489EF-2513-FF50-FB1E-2703FF1229F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96" y="10932401"/>
          <a:ext cx="84459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129353</xdr:colOff>
      <xdr:row>16</xdr:row>
      <xdr:rowOff>86248</xdr:rowOff>
    </xdr:from>
    <xdr:to>
      <xdr:col>1</xdr:col>
      <xdr:colOff>877242</xdr:colOff>
      <xdr:row>16</xdr:row>
      <xdr:rowOff>791099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70B9245-1B88-C8B1-5F92-99EDC835810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7978" y="12865623"/>
          <a:ext cx="74788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115240</xdr:colOff>
      <xdr:row>17</xdr:row>
      <xdr:rowOff>86248</xdr:rowOff>
    </xdr:from>
    <xdr:to>
      <xdr:col>1</xdr:col>
      <xdr:colOff>869479</xdr:colOff>
      <xdr:row>17</xdr:row>
      <xdr:rowOff>791099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10FCE0-2263-A388-56DC-CDA4BAD9FB8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3865" y="13778436"/>
          <a:ext cx="74788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115242</xdr:colOff>
      <xdr:row>18</xdr:row>
      <xdr:rowOff>86248</xdr:rowOff>
    </xdr:from>
    <xdr:to>
      <xdr:col>1</xdr:col>
      <xdr:colOff>869481</xdr:colOff>
      <xdr:row>18</xdr:row>
      <xdr:rowOff>791099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04A14E3-7AF2-7EC8-A7D1-0E0A6B9EDB8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3867" y="14691248"/>
          <a:ext cx="74788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184033</xdr:colOff>
      <xdr:row>22</xdr:row>
      <xdr:rowOff>77167</xdr:rowOff>
    </xdr:from>
    <xdr:to>
      <xdr:col>1</xdr:col>
      <xdr:colOff>931922</xdr:colOff>
      <xdr:row>23</xdr:row>
      <xdr:rowOff>294188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C2DD843-030C-121E-8762-BF4ABB30B27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2658" y="15682292"/>
          <a:ext cx="74788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152283</xdr:colOff>
      <xdr:row>23</xdr:row>
      <xdr:rowOff>81306</xdr:rowOff>
    </xdr:from>
    <xdr:to>
      <xdr:col>1</xdr:col>
      <xdr:colOff>906522</xdr:colOff>
      <xdr:row>23</xdr:row>
      <xdr:rowOff>779807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3B0E7FD-BC69-3598-DDED-FD965EA6478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0908" y="16599244"/>
          <a:ext cx="747889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167844</xdr:colOff>
      <xdr:row>32</xdr:row>
      <xdr:rowOff>77429</xdr:rowOff>
    </xdr:from>
    <xdr:to>
      <xdr:col>1</xdr:col>
      <xdr:colOff>912509</xdr:colOff>
      <xdr:row>32</xdr:row>
      <xdr:rowOff>769580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1597EA67-9F8D-3725-2151-562F7DE3303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6469" y="18500367"/>
          <a:ext cx="744665" cy="6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199594</xdr:colOff>
      <xdr:row>33</xdr:row>
      <xdr:rowOff>77429</xdr:rowOff>
    </xdr:from>
    <xdr:to>
      <xdr:col>1</xdr:col>
      <xdr:colOff>944259</xdr:colOff>
      <xdr:row>33</xdr:row>
      <xdr:rowOff>769580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5CBF14E-C899-575A-9020-622A70CC82F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8219" y="20325992"/>
          <a:ext cx="744665" cy="698501"/>
        </a:xfrm>
        <a:prstGeom prst="rect">
          <a:avLst/>
        </a:prstGeom>
      </xdr:spPr>
    </xdr:pic>
    <xdr:clientData/>
  </xdr:twoCellAnchor>
  <xdr:oneCellAnchor>
    <xdr:from>
      <xdr:col>1</xdr:col>
      <xdr:colOff>168159</xdr:colOff>
      <xdr:row>24</xdr:row>
      <xdr:rowOff>61554</xdr:rowOff>
    </xdr:from>
    <xdr:ext cx="747889" cy="698501"/>
    <xdr:pic>
      <xdr:nvPicPr>
        <xdr:cNvPr id="22" name="Imagem 21">
          <a:extLst>
            <a:ext uri="{FF2B5EF4-FFF2-40B4-BE49-F238E27FC236}">
              <a16:creationId xmlns:a16="http://schemas.microsoft.com/office/drawing/2014/main" id="{EADA19A7-3AFE-4122-B7E6-995F4F08071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6784" y="11023242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166689</xdr:colOff>
      <xdr:row>9</xdr:row>
      <xdr:rowOff>100209</xdr:rowOff>
    </xdr:from>
    <xdr:ext cx="841375" cy="694920"/>
    <xdr:pic>
      <xdr:nvPicPr>
        <xdr:cNvPr id="2" name="Imagem 1">
          <a:extLst>
            <a:ext uri="{FF2B5EF4-FFF2-40B4-BE49-F238E27FC236}">
              <a16:creationId xmlns:a16="http://schemas.microsoft.com/office/drawing/2014/main" id="{F0DCB2F4-7F54-4234-93A0-0C47C476696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5314" y="981272"/>
          <a:ext cx="841375" cy="694920"/>
        </a:xfrm>
        <a:prstGeom prst="rect">
          <a:avLst/>
        </a:prstGeom>
      </xdr:spPr>
    </xdr:pic>
    <xdr:clientData/>
  </xdr:oneCellAnchor>
  <xdr:oneCellAnchor>
    <xdr:from>
      <xdr:col>1</xdr:col>
      <xdr:colOff>180800</xdr:colOff>
      <xdr:row>10</xdr:row>
      <xdr:rowOff>72138</xdr:rowOff>
    </xdr:from>
    <xdr:ext cx="841375" cy="698501"/>
    <xdr:pic>
      <xdr:nvPicPr>
        <xdr:cNvPr id="4" name="Imagem 3">
          <a:extLst>
            <a:ext uri="{FF2B5EF4-FFF2-40B4-BE49-F238E27FC236}">
              <a16:creationId xmlns:a16="http://schemas.microsoft.com/office/drawing/2014/main" id="{5BBD8C72-9E0E-48ED-9310-72C121150F1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9425" y="1869982"/>
          <a:ext cx="841375" cy="698501"/>
        </a:xfrm>
        <a:prstGeom prst="rect">
          <a:avLst/>
        </a:prstGeom>
      </xdr:spPr>
    </xdr:pic>
    <xdr:clientData/>
  </xdr:oneCellAnchor>
  <xdr:oneCellAnchor>
    <xdr:from>
      <xdr:col>1</xdr:col>
      <xdr:colOff>166690</xdr:colOff>
      <xdr:row>11</xdr:row>
      <xdr:rowOff>58026</xdr:rowOff>
    </xdr:from>
    <xdr:ext cx="841375" cy="698501"/>
    <xdr:pic>
      <xdr:nvPicPr>
        <xdr:cNvPr id="8" name="Imagem 7">
          <a:extLst>
            <a:ext uri="{FF2B5EF4-FFF2-40B4-BE49-F238E27FC236}">
              <a16:creationId xmlns:a16="http://schemas.microsoft.com/office/drawing/2014/main" id="{4B87A501-8E15-4E84-8965-5F602E96387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5315" y="2772651"/>
          <a:ext cx="841375" cy="698501"/>
        </a:xfrm>
        <a:prstGeom prst="rect">
          <a:avLst/>
        </a:prstGeom>
      </xdr:spPr>
    </xdr:pic>
    <xdr:clientData/>
  </xdr:oneCellAnchor>
  <xdr:oneCellAnchor>
    <xdr:from>
      <xdr:col>1</xdr:col>
      <xdr:colOff>124671</xdr:colOff>
      <xdr:row>14</xdr:row>
      <xdr:rowOff>58025</xdr:rowOff>
    </xdr:from>
    <xdr:ext cx="844599" cy="698501"/>
    <xdr:pic>
      <xdr:nvPicPr>
        <xdr:cNvPr id="9" name="Imagem 8">
          <a:extLst>
            <a:ext uri="{FF2B5EF4-FFF2-40B4-BE49-F238E27FC236}">
              <a16:creationId xmlns:a16="http://schemas.microsoft.com/office/drawing/2014/main" id="{5AA62F8F-361F-4536-8E12-7F75C94771A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96" y="6582650"/>
          <a:ext cx="844599" cy="698501"/>
        </a:xfrm>
        <a:prstGeom prst="rect">
          <a:avLst/>
        </a:prstGeom>
      </xdr:spPr>
    </xdr:pic>
    <xdr:clientData/>
  </xdr:oneCellAnchor>
  <xdr:oneCellAnchor>
    <xdr:from>
      <xdr:col>1</xdr:col>
      <xdr:colOff>124671</xdr:colOff>
      <xdr:row>15</xdr:row>
      <xdr:rowOff>58026</xdr:rowOff>
    </xdr:from>
    <xdr:ext cx="844599" cy="698501"/>
    <xdr:pic>
      <xdr:nvPicPr>
        <xdr:cNvPr id="11" name="Imagem 10">
          <a:extLst>
            <a:ext uri="{FF2B5EF4-FFF2-40B4-BE49-F238E27FC236}">
              <a16:creationId xmlns:a16="http://schemas.microsoft.com/office/drawing/2014/main" id="{15276CB3-0BEA-4E38-B089-C6640B953FC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96" y="7499432"/>
          <a:ext cx="844599" cy="698501"/>
        </a:xfrm>
        <a:prstGeom prst="rect">
          <a:avLst/>
        </a:prstGeom>
      </xdr:spPr>
    </xdr:pic>
    <xdr:clientData/>
  </xdr:oneCellAnchor>
  <xdr:oneCellAnchor>
    <xdr:from>
      <xdr:col>1</xdr:col>
      <xdr:colOff>129353</xdr:colOff>
      <xdr:row>19</xdr:row>
      <xdr:rowOff>86248</xdr:rowOff>
    </xdr:from>
    <xdr:ext cx="747889" cy="698501"/>
    <xdr:pic>
      <xdr:nvPicPr>
        <xdr:cNvPr id="12" name="Imagem 11">
          <a:extLst>
            <a:ext uri="{FF2B5EF4-FFF2-40B4-BE49-F238E27FC236}">
              <a16:creationId xmlns:a16="http://schemas.microsoft.com/office/drawing/2014/main" id="{0419D7E1-8CE2-408A-9895-3B99D01F5F7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7978" y="10420873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115240</xdr:colOff>
      <xdr:row>20</xdr:row>
      <xdr:rowOff>86248</xdr:rowOff>
    </xdr:from>
    <xdr:ext cx="747889" cy="698501"/>
    <xdr:pic>
      <xdr:nvPicPr>
        <xdr:cNvPr id="13" name="Imagem 12">
          <a:extLst>
            <a:ext uri="{FF2B5EF4-FFF2-40B4-BE49-F238E27FC236}">
              <a16:creationId xmlns:a16="http://schemas.microsoft.com/office/drawing/2014/main" id="{33D41105-A23D-4616-9446-6DC7B01FA59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3865" y="11337654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115242</xdr:colOff>
      <xdr:row>21</xdr:row>
      <xdr:rowOff>86248</xdr:rowOff>
    </xdr:from>
    <xdr:ext cx="747889" cy="698501"/>
    <xdr:pic>
      <xdr:nvPicPr>
        <xdr:cNvPr id="15" name="Imagem 14">
          <a:extLst>
            <a:ext uri="{FF2B5EF4-FFF2-40B4-BE49-F238E27FC236}">
              <a16:creationId xmlns:a16="http://schemas.microsoft.com/office/drawing/2014/main" id="{0FF54B96-2656-4090-BD53-C269F4447E8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3867" y="12254436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184033</xdr:colOff>
      <xdr:row>27</xdr:row>
      <xdr:rowOff>77167</xdr:rowOff>
    </xdr:from>
    <xdr:ext cx="747889" cy="698501"/>
    <xdr:pic>
      <xdr:nvPicPr>
        <xdr:cNvPr id="20" name="Imagem 19">
          <a:extLst>
            <a:ext uri="{FF2B5EF4-FFF2-40B4-BE49-F238E27FC236}">
              <a16:creationId xmlns:a16="http://schemas.microsoft.com/office/drawing/2014/main" id="{BAD7A8EB-1143-4D20-B5E2-0486BC43668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12658" y="16067261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152283</xdr:colOff>
      <xdr:row>28</xdr:row>
      <xdr:rowOff>81306</xdr:rowOff>
    </xdr:from>
    <xdr:ext cx="747889" cy="698501"/>
    <xdr:pic>
      <xdr:nvPicPr>
        <xdr:cNvPr id="24" name="Imagem 23">
          <a:extLst>
            <a:ext uri="{FF2B5EF4-FFF2-40B4-BE49-F238E27FC236}">
              <a16:creationId xmlns:a16="http://schemas.microsoft.com/office/drawing/2014/main" id="{D30C91B2-2F61-42AA-95A4-87F8AD90E47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80908" y="16988181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168159</xdr:colOff>
      <xdr:row>29</xdr:row>
      <xdr:rowOff>61554</xdr:rowOff>
    </xdr:from>
    <xdr:ext cx="747889" cy="698501"/>
    <xdr:pic>
      <xdr:nvPicPr>
        <xdr:cNvPr id="25" name="Imagem 24">
          <a:extLst>
            <a:ext uri="{FF2B5EF4-FFF2-40B4-BE49-F238E27FC236}">
              <a16:creationId xmlns:a16="http://schemas.microsoft.com/office/drawing/2014/main" id="{99263C21-E489-4A1B-A742-6607A836210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6784" y="17885210"/>
          <a:ext cx="747889" cy="698501"/>
        </a:xfrm>
        <a:prstGeom prst="rect">
          <a:avLst/>
        </a:prstGeom>
      </xdr:spPr>
    </xdr:pic>
    <xdr:clientData/>
  </xdr:oneCellAnchor>
  <xdr:oneCellAnchor>
    <xdr:from>
      <xdr:col>1</xdr:col>
      <xdr:colOff>167844</xdr:colOff>
      <xdr:row>34</xdr:row>
      <xdr:rowOff>77429</xdr:rowOff>
    </xdr:from>
    <xdr:ext cx="744665" cy="698501"/>
    <xdr:pic>
      <xdr:nvPicPr>
        <xdr:cNvPr id="26" name="Imagem 25">
          <a:extLst>
            <a:ext uri="{FF2B5EF4-FFF2-40B4-BE49-F238E27FC236}">
              <a16:creationId xmlns:a16="http://schemas.microsoft.com/office/drawing/2014/main" id="{5DF00F78-69CE-4114-88CD-9B47B0174BD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96469" y="25390117"/>
          <a:ext cx="744665" cy="698501"/>
        </a:xfrm>
        <a:prstGeom prst="rect">
          <a:avLst/>
        </a:prstGeom>
      </xdr:spPr>
    </xdr:pic>
    <xdr:clientData/>
  </xdr:oneCellAnchor>
  <xdr:oneCellAnchor>
    <xdr:from>
      <xdr:col>1</xdr:col>
      <xdr:colOff>199594</xdr:colOff>
      <xdr:row>35</xdr:row>
      <xdr:rowOff>77429</xdr:rowOff>
    </xdr:from>
    <xdr:ext cx="744665" cy="698501"/>
    <xdr:pic>
      <xdr:nvPicPr>
        <xdr:cNvPr id="27" name="Imagem 26">
          <a:extLst>
            <a:ext uri="{FF2B5EF4-FFF2-40B4-BE49-F238E27FC236}">
              <a16:creationId xmlns:a16="http://schemas.microsoft.com/office/drawing/2014/main" id="{1A4FD444-EB7B-4DBA-9EFB-9E809E0F5CC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8219" y="26306898"/>
          <a:ext cx="744665" cy="698501"/>
        </a:xfrm>
        <a:prstGeom prst="rect">
          <a:avLst/>
        </a:prstGeom>
      </xdr:spPr>
    </xdr:pic>
    <xdr:clientData/>
  </xdr:oneCellAnchor>
  <xdr:twoCellAnchor editAs="oneCell">
    <xdr:from>
      <xdr:col>1</xdr:col>
      <xdr:colOff>220943</xdr:colOff>
      <xdr:row>30</xdr:row>
      <xdr:rowOff>26060</xdr:rowOff>
    </xdr:from>
    <xdr:to>
      <xdr:col>1</xdr:col>
      <xdr:colOff>907676</xdr:colOff>
      <xdr:row>31</xdr:row>
      <xdr:rowOff>8404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39DFF91-8DF7-9A35-A811-138B6945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46767" y="23334295"/>
          <a:ext cx="686733" cy="901227"/>
        </a:xfrm>
        <a:prstGeom prst="rect">
          <a:avLst/>
        </a:prstGeom>
      </xdr:spPr>
    </xdr:pic>
    <xdr:clientData/>
  </xdr:twoCellAnchor>
  <xdr:twoCellAnchor editAs="oneCell">
    <xdr:from>
      <xdr:col>1</xdr:col>
      <xdr:colOff>198531</xdr:colOff>
      <xdr:row>25</xdr:row>
      <xdr:rowOff>0</xdr:rowOff>
    </xdr:from>
    <xdr:to>
      <xdr:col>1</xdr:col>
      <xdr:colOff>885264</xdr:colOff>
      <xdr:row>25</xdr:row>
      <xdr:rowOff>907577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4CDA2474-785A-4EFB-B31C-9774F9E82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4355" y="18624176"/>
          <a:ext cx="686733" cy="907577"/>
        </a:xfrm>
        <a:prstGeom prst="rect">
          <a:avLst/>
        </a:prstGeom>
      </xdr:spPr>
    </xdr:pic>
    <xdr:clientData/>
  </xdr:twoCellAnchor>
  <xdr:twoCellAnchor editAs="oneCell">
    <xdr:from>
      <xdr:col>1</xdr:col>
      <xdr:colOff>216086</xdr:colOff>
      <xdr:row>31</xdr:row>
      <xdr:rowOff>28762</xdr:rowOff>
    </xdr:from>
    <xdr:to>
      <xdr:col>1</xdr:col>
      <xdr:colOff>865832</xdr:colOff>
      <xdr:row>31</xdr:row>
      <xdr:rowOff>895164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9BBA86F7-F06A-A98C-F389-FC51C0C03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41910" y="24255880"/>
          <a:ext cx="649746" cy="866402"/>
        </a:xfrm>
        <a:prstGeom prst="rect">
          <a:avLst/>
        </a:prstGeom>
      </xdr:spPr>
    </xdr:pic>
    <xdr:clientData/>
  </xdr:twoCellAnchor>
  <xdr:twoCellAnchor editAs="oneCell">
    <xdr:from>
      <xdr:col>1</xdr:col>
      <xdr:colOff>246529</xdr:colOff>
      <xdr:row>26</xdr:row>
      <xdr:rowOff>33618</xdr:rowOff>
    </xdr:from>
    <xdr:to>
      <xdr:col>1</xdr:col>
      <xdr:colOff>896275</xdr:colOff>
      <xdr:row>26</xdr:row>
      <xdr:rowOff>906370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59228102-EA1E-4532-A4C5-3136D0CB1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72353" y="19576677"/>
          <a:ext cx="649746" cy="86640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DB7A-B1CA-264B-BD53-6179E97458B1}">
  <dimension ref="A2:AF38"/>
  <sheetViews>
    <sheetView showGridLines="0" tabSelected="1" topLeftCell="A13" zoomScale="80" zoomScaleNormal="80" workbookViewId="0">
      <selection activeCell="R8" sqref="R8"/>
    </sheetView>
  </sheetViews>
  <sheetFormatPr defaultColWidth="10.8984375" defaultRowHeight="15.6" x14ac:dyDescent="0.3"/>
  <cols>
    <col min="1" max="1" width="5.59765625" style="1" customWidth="1"/>
    <col min="2" max="2" width="14.09765625" style="1" customWidth="1"/>
    <col min="3" max="3" width="22.3984375" style="1" bestFit="1" customWidth="1"/>
    <col min="4" max="4" width="19.59765625" style="1" customWidth="1"/>
    <col min="5" max="5" width="12.8984375" style="1" customWidth="1"/>
    <col min="6" max="6" width="8.69921875" style="1" customWidth="1"/>
    <col min="7" max="7" width="15.5" style="1" customWidth="1"/>
    <col min="8" max="8" width="15.09765625" style="1" customWidth="1"/>
    <col min="9" max="9" width="10" style="1" customWidth="1"/>
    <col min="10" max="10" width="9" style="1" bestFit="1" customWidth="1"/>
    <col min="11" max="11" width="13.59765625" style="1" customWidth="1"/>
    <col min="12" max="12" width="11.8984375" style="6" bestFit="1" customWidth="1"/>
    <col min="13" max="13" width="11.8984375" style="5" bestFit="1" customWidth="1"/>
    <col min="14" max="14" width="11.8984375" style="6" bestFit="1" customWidth="1"/>
    <col min="15" max="15" width="11.8984375" style="5" bestFit="1" customWidth="1"/>
    <col min="16" max="16" width="11.8984375" style="6" bestFit="1" customWidth="1"/>
    <col min="17" max="17" width="11.8984375" style="5" bestFit="1" customWidth="1"/>
    <col min="18" max="18" width="13.5" style="6" customWidth="1"/>
    <col min="19" max="19" width="15.5" style="5" customWidth="1"/>
    <col min="20" max="20" width="12.09765625" style="6" customWidth="1"/>
    <col min="21" max="21" width="12.5" style="5" customWidth="1"/>
    <col min="22" max="22" width="11.5" style="6" bestFit="1" customWidth="1"/>
    <col min="23" max="23" width="15" style="5" customWidth="1"/>
    <col min="24" max="24" width="14.5" style="6" bestFit="1" customWidth="1"/>
    <col min="25" max="25" width="18.59765625" style="5" customWidth="1"/>
    <col min="26" max="26" width="22.796875" style="9" customWidth="1"/>
    <col min="27" max="27" width="13.8984375" style="10" customWidth="1"/>
    <col min="28" max="28" width="14.796875" style="10" bestFit="1" customWidth="1"/>
    <col min="29" max="29" width="14.5" style="1" bestFit="1" customWidth="1"/>
    <col min="30" max="30" width="23.09765625" style="10" bestFit="1" customWidth="1"/>
    <col min="31" max="31" width="11.5" style="1" bestFit="1" customWidth="1"/>
    <col min="32" max="32" width="14.09765625" style="1" bestFit="1" customWidth="1"/>
    <col min="33" max="16384" width="10.8984375" style="6"/>
  </cols>
  <sheetData>
    <row r="2" spans="1:32" s="19" customFormat="1" ht="43.8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6" t="s">
        <v>36</v>
      </c>
      <c r="M2" s="17" t="s">
        <v>41</v>
      </c>
      <c r="N2" s="16" t="s">
        <v>42</v>
      </c>
      <c r="O2" s="16" t="s">
        <v>43</v>
      </c>
      <c r="P2" s="16" t="s">
        <v>44</v>
      </c>
      <c r="Q2" s="16" t="s">
        <v>47</v>
      </c>
      <c r="R2" s="17" t="s">
        <v>48</v>
      </c>
      <c r="S2" s="16" t="s">
        <v>50</v>
      </c>
      <c r="T2" s="16" t="s">
        <v>52</v>
      </c>
      <c r="U2" s="16" t="s">
        <v>55</v>
      </c>
      <c r="V2" s="16" t="s">
        <v>56</v>
      </c>
      <c r="W2" s="16" t="s">
        <v>58</v>
      </c>
      <c r="X2" s="16" t="s">
        <v>61</v>
      </c>
      <c r="Y2" s="16" t="s">
        <v>62</v>
      </c>
      <c r="Z2" s="16" t="s">
        <v>64</v>
      </c>
      <c r="AA2" s="16" t="s">
        <v>66</v>
      </c>
      <c r="AB2" s="15" t="s">
        <v>69</v>
      </c>
      <c r="AC2" s="15" t="s">
        <v>70</v>
      </c>
      <c r="AD2" s="15" t="s">
        <v>72</v>
      </c>
      <c r="AE2" s="28"/>
      <c r="AF2" s="28" t="s">
        <v>74</v>
      </c>
    </row>
    <row r="3" spans="1:32" s="19" customFormat="1" ht="37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9">
        <f t="shared" ref="L3:AE3" si="0">SUMPRODUCT(L7:L36,$I$7:$I$36)</f>
        <v>9845.6799999999985</v>
      </c>
      <c r="M3" s="29">
        <f t="shared" si="0"/>
        <v>6772.84</v>
      </c>
      <c r="N3" s="29">
        <f t="shared" si="0"/>
        <v>8725.8799999999992</v>
      </c>
      <c r="O3" s="29">
        <f t="shared" si="0"/>
        <v>8725.8799999999992</v>
      </c>
      <c r="P3" s="29">
        <f t="shared" si="0"/>
        <v>7565.6400000000012</v>
      </c>
      <c r="Q3" s="29">
        <f t="shared" si="0"/>
        <v>7760.8400000000011</v>
      </c>
      <c r="R3" s="29">
        <f t="shared" si="0"/>
        <v>8438.84</v>
      </c>
      <c r="S3" s="29">
        <f t="shared" si="0"/>
        <v>7565.6400000000012</v>
      </c>
      <c r="T3" s="29">
        <f t="shared" si="0"/>
        <v>5414.9199999999992</v>
      </c>
      <c r="U3" s="29">
        <f t="shared" si="0"/>
        <v>6772.84</v>
      </c>
      <c r="V3" s="29">
        <f t="shared" si="0"/>
        <v>7565.6400000000012</v>
      </c>
      <c r="W3" s="29">
        <f t="shared" si="0"/>
        <v>8243.6400000000012</v>
      </c>
      <c r="X3" s="29">
        <f t="shared" si="0"/>
        <v>4526.4399999999987</v>
      </c>
      <c r="Y3" s="29">
        <f t="shared" si="0"/>
        <v>8438.84</v>
      </c>
      <c r="Z3" s="29">
        <f t="shared" si="0"/>
        <v>6772.84</v>
      </c>
      <c r="AA3" s="29">
        <f t="shared" si="0"/>
        <v>8438.84</v>
      </c>
      <c r="AB3" s="29">
        <f t="shared" si="0"/>
        <v>4526.4399999999987</v>
      </c>
      <c r="AC3" s="29">
        <f t="shared" si="0"/>
        <v>4526.4399999999987</v>
      </c>
      <c r="AD3" s="29">
        <f t="shared" si="0"/>
        <v>8438.84</v>
      </c>
      <c r="AE3" s="29">
        <f t="shared" si="0"/>
        <v>5319.2399999999989</v>
      </c>
      <c r="AF3" s="29">
        <f>SUM(L3:AE3)</f>
        <v>144386.19999999998</v>
      </c>
    </row>
    <row r="4" spans="1:32" s="19" customFormat="1" ht="3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0">
        <f t="shared" ref="L4:AE4" si="1">SUM(L7:L36)</f>
        <v>606</v>
      </c>
      <c r="M4" s="30">
        <f t="shared" si="1"/>
        <v>422</v>
      </c>
      <c r="N4" s="30">
        <f t="shared" si="1"/>
        <v>546</v>
      </c>
      <c r="O4" s="30">
        <f t="shared" si="1"/>
        <v>546</v>
      </c>
      <c r="P4" s="30">
        <f t="shared" si="1"/>
        <v>472</v>
      </c>
      <c r="Q4" s="30">
        <f t="shared" si="1"/>
        <v>482</v>
      </c>
      <c r="R4" s="30">
        <f t="shared" si="1"/>
        <v>522</v>
      </c>
      <c r="S4" s="30">
        <f t="shared" si="1"/>
        <v>472</v>
      </c>
      <c r="T4" s="30">
        <f t="shared" si="1"/>
        <v>336</v>
      </c>
      <c r="U4" s="30">
        <f t="shared" si="1"/>
        <v>422</v>
      </c>
      <c r="V4" s="30">
        <f t="shared" si="1"/>
        <v>472</v>
      </c>
      <c r="W4" s="30">
        <f t="shared" si="1"/>
        <v>512</v>
      </c>
      <c r="X4" s="30">
        <f t="shared" si="1"/>
        <v>278</v>
      </c>
      <c r="Y4" s="30">
        <f t="shared" si="1"/>
        <v>522</v>
      </c>
      <c r="Z4" s="30">
        <f t="shared" si="1"/>
        <v>422</v>
      </c>
      <c r="AA4" s="30">
        <f t="shared" si="1"/>
        <v>522</v>
      </c>
      <c r="AB4" s="30">
        <f t="shared" si="1"/>
        <v>278</v>
      </c>
      <c r="AC4" s="30">
        <f t="shared" si="1"/>
        <v>278</v>
      </c>
      <c r="AD4" s="30">
        <f t="shared" si="1"/>
        <v>522</v>
      </c>
      <c r="AE4" s="30">
        <f t="shared" si="1"/>
        <v>328</v>
      </c>
      <c r="AF4" s="31">
        <f>SUM(L4:AE4)</f>
        <v>8960</v>
      </c>
    </row>
    <row r="5" spans="1:32" s="21" customFormat="1" ht="31.2" x14ac:dyDescent="0.3">
      <c r="A5" s="20"/>
      <c r="B5" s="22" t="s">
        <v>17</v>
      </c>
      <c r="C5" s="22" t="s">
        <v>3</v>
      </c>
      <c r="D5" s="22" t="s">
        <v>10</v>
      </c>
      <c r="E5" s="22" t="s">
        <v>31</v>
      </c>
      <c r="F5" s="22" t="s">
        <v>32</v>
      </c>
      <c r="G5" s="22" t="s">
        <v>4</v>
      </c>
      <c r="H5" s="22" t="s">
        <v>16</v>
      </c>
      <c r="I5" s="22" t="s">
        <v>5</v>
      </c>
      <c r="J5" s="22" t="s">
        <v>7</v>
      </c>
      <c r="K5" s="22" t="s">
        <v>8</v>
      </c>
      <c r="L5" s="16" t="s">
        <v>35</v>
      </c>
      <c r="M5" s="17" t="s">
        <v>37</v>
      </c>
      <c r="N5" s="16" t="s">
        <v>38</v>
      </c>
      <c r="O5" s="16" t="s">
        <v>39</v>
      </c>
      <c r="P5" s="16" t="s">
        <v>40</v>
      </c>
      <c r="Q5" s="16" t="s">
        <v>45</v>
      </c>
      <c r="R5" s="16" t="s">
        <v>46</v>
      </c>
      <c r="S5" s="16" t="s">
        <v>49</v>
      </c>
      <c r="T5" s="16" t="s">
        <v>51</v>
      </c>
      <c r="U5" s="16" t="s">
        <v>53</v>
      </c>
      <c r="V5" s="16" t="s">
        <v>54</v>
      </c>
      <c r="W5" s="16" t="s">
        <v>57</v>
      </c>
      <c r="X5" s="16" t="s">
        <v>59</v>
      </c>
      <c r="Y5" s="16" t="s">
        <v>60</v>
      </c>
      <c r="Z5" s="16" t="s">
        <v>63</v>
      </c>
      <c r="AA5" s="16" t="s">
        <v>65</v>
      </c>
      <c r="AB5" s="15" t="s">
        <v>67</v>
      </c>
      <c r="AC5" s="15" t="s">
        <v>68</v>
      </c>
      <c r="AD5" s="15" t="s">
        <v>71</v>
      </c>
      <c r="AE5" s="15" t="s">
        <v>73</v>
      </c>
      <c r="AF5" s="27">
        <f>SUM(AF7:AF36)</f>
        <v>8960</v>
      </c>
    </row>
    <row r="6" spans="1:32" ht="6" customHeight="1" x14ac:dyDescent="0.3"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7"/>
      <c r="AA6" s="1"/>
      <c r="AB6" s="1"/>
      <c r="AD6" s="1"/>
    </row>
    <row r="7" spans="1:32" s="5" customFormat="1" ht="72" customHeight="1" x14ac:dyDescent="0.3">
      <c r="A7" s="10"/>
      <c r="B7" s="2"/>
      <c r="C7" s="2" t="s">
        <v>0</v>
      </c>
      <c r="D7" s="2" t="s">
        <v>11</v>
      </c>
      <c r="E7" s="2" t="s">
        <v>28</v>
      </c>
      <c r="F7" s="2">
        <v>100</v>
      </c>
      <c r="G7" s="2" t="s">
        <v>1</v>
      </c>
      <c r="H7" s="2" t="s">
        <v>25</v>
      </c>
      <c r="I7" s="3">
        <v>11.96</v>
      </c>
      <c r="J7" s="23">
        <v>29.99</v>
      </c>
      <c r="K7" s="24">
        <f t="shared" ref="K7:K36" si="2">J7/I7</f>
        <v>2.5075250836120397</v>
      </c>
      <c r="L7" s="8">
        <v>24</v>
      </c>
      <c r="M7" s="8">
        <v>24</v>
      </c>
      <c r="N7" s="8">
        <v>24</v>
      </c>
      <c r="O7" s="8">
        <v>24</v>
      </c>
      <c r="P7" s="8">
        <v>24</v>
      </c>
      <c r="Q7" s="8">
        <v>24</v>
      </c>
      <c r="R7" s="8">
        <v>24</v>
      </c>
      <c r="S7" s="8">
        <v>24</v>
      </c>
      <c r="T7" s="8">
        <v>12</v>
      </c>
      <c r="U7" s="8">
        <v>24</v>
      </c>
      <c r="V7" s="8">
        <v>24</v>
      </c>
      <c r="W7" s="8">
        <v>24</v>
      </c>
      <c r="X7" s="8">
        <v>12</v>
      </c>
      <c r="Y7" s="8">
        <v>24</v>
      </c>
      <c r="Z7" s="8">
        <v>24</v>
      </c>
      <c r="AA7" s="8">
        <v>24</v>
      </c>
      <c r="AB7" s="8">
        <v>12</v>
      </c>
      <c r="AC7" s="8">
        <v>12</v>
      </c>
      <c r="AD7" s="8">
        <v>24</v>
      </c>
      <c r="AE7" s="8">
        <v>12</v>
      </c>
      <c r="AF7" s="8">
        <f>SUM(L7:AE7)</f>
        <v>420</v>
      </c>
    </row>
    <row r="8" spans="1:32" s="5" customFormat="1" ht="72" customHeight="1" x14ac:dyDescent="0.3">
      <c r="A8" s="10"/>
      <c r="B8" s="2"/>
      <c r="C8" s="2" t="s">
        <v>0</v>
      </c>
      <c r="D8" s="2" t="s">
        <v>18</v>
      </c>
      <c r="E8" s="2" t="s">
        <v>28</v>
      </c>
      <c r="F8" s="2">
        <v>900</v>
      </c>
      <c r="G8" s="2" t="s">
        <v>1</v>
      </c>
      <c r="H8" s="2" t="s">
        <v>25</v>
      </c>
      <c r="I8" s="3">
        <v>11.96</v>
      </c>
      <c r="J8" s="23">
        <v>29.99</v>
      </c>
      <c r="K8" s="24">
        <f t="shared" si="2"/>
        <v>2.5075250836120397</v>
      </c>
      <c r="L8" s="8">
        <v>24</v>
      </c>
      <c r="M8" s="8">
        <v>12</v>
      </c>
      <c r="N8" s="8">
        <v>24</v>
      </c>
      <c r="O8" s="8">
        <v>24</v>
      </c>
      <c r="P8" s="8">
        <v>12</v>
      </c>
      <c r="Q8" s="8">
        <v>12</v>
      </c>
      <c r="R8" s="8">
        <v>12</v>
      </c>
      <c r="S8" s="8">
        <v>12</v>
      </c>
      <c r="T8" s="8">
        <v>16</v>
      </c>
      <c r="U8" s="8">
        <v>12</v>
      </c>
      <c r="V8" s="8">
        <v>12</v>
      </c>
      <c r="W8" s="8">
        <v>12</v>
      </c>
      <c r="X8" s="8">
        <v>12</v>
      </c>
      <c r="Y8" s="8">
        <v>12</v>
      </c>
      <c r="Z8" s="8">
        <v>12</v>
      </c>
      <c r="AA8" s="8">
        <v>12</v>
      </c>
      <c r="AB8" s="8">
        <v>12</v>
      </c>
      <c r="AC8" s="8">
        <v>12</v>
      </c>
      <c r="AD8" s="8">
        <v>12</v>
      </c>
      <c r="AE8" s="8">
        <v>12</v>
      </c>
      <c r="AF8" s="8">
        <f t="shared" ref="AF8:AF36" si="3">SUM(L8:AE8)</f>
        <v>280</v>
      </c>
    </row>
    <row r="9" spans="1:32" s="5" customFormat="1" ht="72" customHeight="1" x14ac:dyDescent="0.3">
      <c r="A9" s="10"/>
      <c r="B9" s="2"/>
      <c r="C9" s="2" t="s">
        <v>0</v>
      </c>
      <c r="D9" s="2" t="s">
        <v>12</v>
      </c>
      <c r="E9" s="2" t="s">
        <v>28</v>
      </c>
      <c r="F9" s="14" t="s">
        <v>30</v>
      </c>
      <c r="G9" s="2" t="s">
        <v>1</v>
      </c>
      <c r="H9" s="2" t="s">
        <v>25</v>
      </c>
      <c r="I9" s="3">
        <v>11.96</v>
      </c>
      <c r="J9" s="23">
        <v>29.99</v>
      </c>
      <c r="K9" s="24">
        <f t="shared" si="2"/>
        <v>2.5075250836120397</v>
      </c>
      <c r="L9" s="8">
        <v>24</v>
      </c>
      <c r="M9" s="8">
        <v>24</v>
      </c>
      <c r="N9" s="8">
        <v>24</v>
      </c>
      <c r="O9" s="8">
        <v>24</v>
      </c>
      <c r="P9" s="8">
        <v>24</v>
      </c>
      <c r="Q9" s="8">
        <v>24</v>
      </c>
      <c r="R9" s="8">
        <v>24</v>
      </c>
      <c r="S9" s="8">
        <v>24</v>
      </c>
      <c r="T9" s="8">
        <v>12</v>
      </c>
      <c r="U9" s="8">
        <v>24</v>
      </c>
      <c r="V9" s="8">
        <v>24</v>
      </c>
      <c r="W9" s="8">
        <v>24</v>
      </c>
      <c r="X9" s="8">
        <v>12</v>
      </c>
      <c r="Y9" s="8">
        <v>24</v>
      </c>
      <c r="Z9" s="8">
        <v>24</v>
      </c>
      <c r="AA9" s="8">
        <v>24</v>
      </c>
      <c r="AB9" s="8">
        <v>12</v>
      </c>
      <c r="AC9" s="8">
        <v>12</v>
      </c>
      <c r="AD9" s="8">
        <v>24</v>
      </c>
      <c r="AE9" s="8">
        <v>12</v>
      </c>
      <c r="AF9" s="8">
        <f t="shared" si="3"/>
        <v>420</v>
      </c>
    </row>
    <row r="10" spans="1:32" s="5" customFormat="1" ht="72" customHeight="1" x14ac:dyDescent="0.3">
      <c r="A10" s="10"/>
      <c r="B10" s="2"/>
      <c r="C10" s="2" t="s">
        <v>0</v>
      </c>
      <c r="D10" s="2" t="s">
        <v>11</v>
      </c>
      <c r="E10" s="2" t="s">
        <v>28</v>
      </c>
      <c r="F10" s="2">
        <v>100</v>
      </c>
      <c r="G10" s="2" t="s">
        <v>1</v>
      </c>
      <c r="H10" s="2" t="s">
        <v>26</v>
      </c>
      <c r="I10" s="3">
        <v>11.96</v>
      </c>
      <c r="J10" s="23">
        <v>29.99</v>
      </c>
      <c r="K10" s="24">
        <f t="shared" si="2"/>
        <v>2.5075250836120397</v>
      </c>
      <c r="L10" s="8">
        <v>24</v>
      </c>
      <c r="M10" s="8">
        <v>24</v>
      </c>
      <c r="N10" s="8">
        <v>24</v>
      </c>
      <c r="O10" s="8">
        <v>24</v>
      </c>
      <c r="P10" s="8">
        <v>24</v>
      </c>
      <c r="Q10" s="8">
        <v>24</v>
      </c>
      <c r="R10" s="8">
        <v>24</v>
      </c>
      <c r="S10" s="8">
        <v>24</v>
      </c>
      <c r="T10" s="8">
        <v>12</v>
      </c>
      <c r="U10" s="8">
        <v>24</v>
      </c>
      <c r="V10" s="8">
        <v>24</v>
      </c>
      <c r="W10" s="8">
        <v>24</v>
      </c>
      <c r="X10" s="8">
        <v>12</v>
      </c>
      <c r="Y10" s="8">
        <v>24</v>
      </c>
      <c r="Z10" s="8">
        <v>24</v>
      </c>
      <c r="AA10" s="8">
        <v>24</v>
      </c>
      <c r="AB10" s="8">
        <v>12</v>
      </c>
      <c r="AC10" s="8">
        <v>12</v>
      </c>
      <c r="AD10" s="8">
        <v>24</v>
      </c>
      <c r="AE10" s="8">
        <v>12</v>
      </c>
      <c r="AF10" s="8">
        <f t="shared" si="3"/>
        <v>420</v>
      </c>
    </row>
    <row r="11" spans="1:32" s="5" customFormat="1" ht="72" customHeight="1" x14ac:dyDescent="0.3">
      <c r="A11" s="10"/>
      <c r="B11" s="2"/>
      <c r="C11" s="2" t="s">
        <v>0</v>
      </c>
      <c r="D11" s="2" t="s">
        <v>18</v>
      </c>
      <c r="E11" s="2" t="s">
        <v>28</v>
      </c>
      <c r="F11" s="2">
        <v>900</v>
      </c>
      <c r="G11" s="2" t="s">
        <v>1</v>
      </c>
      <c r="H11" s="2" t="s">
        <v>26</v>
      </c>
      <c r="I11" s="3">
        <v>11.96</v>
      </c>
      <c r="J11" s="23">
        <v>29.99</v>
      </c>
      <c r="K11" s="24">
        <f t="shared" si="2"/>
        <v>2.5075250836120397</v>
      </c>
      <c r="L11" s="8">
        <v>24</v>
      </c>
      <c r="M11" s="8">
        <v>12</v>
      </c>
      <c r="N11" s="8">
        <v>24</v>
      </c>
      <c r="O11" s="8">
        <v>24</v>
      </c>
      <c r="P11" s="8">
        <v>12</v>
      </c>
      <c r="Q11" s="8">
        <v>12</v>
      </c>
      <c r="R11" s="8">
        <v>12</v>
      </c>
      <c r="S11" s="8">
        <v>12</v>
      </c>
      <c r="T11" s="8">
        <v>16</v>
      </c>
      <c r="U11" s="8">
        <v>12</v>
      </c>
      <c r="V11" s="8">
        <v>12</v>
      </c>
      <c r="W11" s="8">
        <v>12</v>
      </c>
      <c r="X11" s="8">
        <v>12</v>
      </c>
      <c r="Y11" s="8">
        <v>12</v>
      </c>
      <c r="Z11" s="8">
        <v>12</v>
      </c>
      <c r="AA11" s="8">
        <v>12</v>
      </c>
      <c r="AB11" s="8">
        <v>12</v>
      </c>
      <c r="AC11" s="8">
        <v>12</v>
      </c>
      <c r="AD11" s="8">
        <v>12</v>
      </c>
      <c r="AE11" s="8">
        <v>12</v>
      </c>
      <c r="AF11" s="8">
        <f t="shared" si="3"/>
        <v>280</v>
      </c>
    </row>
    <row r="12" spans="1:32" s="5" customFormat="1" ht="72" customHeight="1" x14ac:dyDescent="0.3">
      <c r="A12" s="10"/>
      <c r="B12" s="2"/>
      <c r="C12" s="2" t="s">
        <v>0</v>
      </c>
      <c r="D12" s="2" t="s">
        <v>12</v>
      </c>
      <c r="E12" s="2" t="s">
        <v>28</v>
      </c>
      <c r="F12" s="2" t="s">
        <v>30</v>
      </c>
      <c r="G12" s="2" t="s">
        <v>1</v>
      </c>
      <c r="H12" s="2" t="s">
        <v>26</v>
      </c>
      <c r="I12" s="3">
        <v>11.96</v>
      </c>
      <c r="J12" s="23">
        <v>29.99</v>
      </c>
      <c r="K12" s="24">
        <f t="shared" si="2"/>
        <v>2.5075250836120397</v>
      </c>
      <c r="L12" s="8">
        <v>24</v>
      </c>
      <c r="M12" s="8">
        <v>24</v>
      </c>
      <c r="N12" s="8">
        <v>24</v>
      </c>
      <c r="O12" s="8">
        <v>24</v>
      </c>
      <c r="P12" s="8">
        <v>24</v>
      </c>
      <c r="Q12" s="8">
        <v>24</v>
      </c>
      <c r="R12" s="8">
        <v>24</v>
      </c>
      <c r="S12" s="8">
        <v>24</v>
      </c>
      <c r="T12" s="8">
        <v>12</v>
      </c>
      <c r="U12" s="8">
        <v>24</v>
      </c>
      <c r="V12" s="8">
        <v>24</v>
      </c>
      <c r="W12" s="8">
        <v>24</v>
      </c>
      <c r="X12" s="8">
        <v>12</v>
      </c>
      <c r="Y12" s="8">
        <v>24</v>
      </c>
      <c r="Z12" s="8">
        <v>24</v>
      </c>
      <c r="AA12" s="8">
        <v>24</v>
      </c>
      <c r="AB12" s="8">
        <v>12</v>
      </c>
      <c r="AC12" s="8">
        <v>12</v>
      </c>
      <c r="AD12" s="8">
        <v>24</v>
      </c>
      <c r="AE12" s="8">
        <v>12</v>
      </c>
      <c r="AF12" s="8">
        <f t="shared" si="3"/>
        <v>420</v>
      </c>
    </row>
    <row r="13" spans="1:32" s="5" customFormat="1" ht="72" customHeight="1" x14ac:dyDescent="0.3">
      <c r="A13" s="10"/>
      <c r="B13" s="2"/>
      <c r="C13" s="2" t="s">
        <v>2</v>
      </c>
      <c r="D13" s="2" t="s">
        <v>11</v>
      </c>
      <c r="E13" s="2" t="s">
        <v>29</v>
      </c>
      <c r="F13" s="2">
        <v>100</v>
      </c>
      <c r="G13" s="2" t="s">
        <v>1</v>
      </c>
      <c r="H13" s="2" t="s">
        <v>25</v>
      </c>
      <c r="I13" s="3">
        <v>14.94</v>
      </c>
      <c r="J13" s="23">
        <v>34.99</v>
      </c>
      <c r="K13" s="24">
        <f t="shared" si="2"/>
        <v>2.3420348058902278</v>
      </c>
      <c r="L13" s="8">
        <v>10</v>
      </c>
      <c r="M13" s="11"/>
      <c r="N13" s="8">
        <v>10</v>
      </c>
      <c r="O13" s="8">
        <v>10</v>
      </c>
      <c r="P13" s="8">
        <v>10</v>
      </c>
      <c r="Q13" s="8">
        <v>10</v>
      </c>
      <c r="R13" s="8">
        <v>10</v>
      </c>
      <c r="S13" s="8">
        <v>10</v>
      </c>
      <c r="T13" s="8">
        <v>10</v>
      </c>
      <c r="U13" s="11"/>
      <c r="V13" s="8">
        <v>10</v>
      </c>
      <c r="W13" s="8">
        <v>10</v>
      </c>
      <c r="X13" s="8"/>
      <c r="Y13" s="8">
        <v>10</v>
      </c>
      <c r="Z13" s="8"/>
      <c r="AA13" s="8">
        <v>10</v>
      </c>
      <c r="AB13" s="13"/>
      <c r="AC13" s="13"/>
      <c r="AD13" s="13">
        <v>10</v>
      </c>
      <c r="AE13" s="13">
        <v>10</v>
      </c>
      <c r="AF13" s="8">
        <f t="shared" si="3"/>
        <v>140</v>
      </c>
    </row>
    <row r="14" spans="1:32" s="5" customFormat="1" ht="72" customHeight="1" x14ac:dyDescent="0.3">
      <c r="A14" s="10"/>
      <c r="B14" s="2"/>
      <c r="C14" s="2" t="s">
        <v>2</v>
      </c>
      <c r="D14" s="2" t="s">
        <v>12</v>
      </c>
      <c r="E14" s="2" t="s">
        <v>29</v>
      </c>
      <c r="F14" s="2" t="s">
        <v>30</v>
      </c>
      <c r="G14" s="2" t="s">
        <v>1</v>
      </c>
      <c r="H14" s="2" t="s">
        <v>25</v>
      </c>
      <c r="I14" s="3">
        <v>14.94</v>
      </c>
      <c r="J14" s="23">
        <v>34.99</v>
      </c>
      <c r="K14" s="24">
        <f t="shared" si="2"/>
        <v>2.3420348058902278</v>
      </c>
      <c r="L14" s="8">
        <v>10</v>
      </c>
      <c r="M14" s="11"/>
      <c r="N14" s="8">
        <v>10</v>
      </c>
      <c r="O14" s="8">
        <v>10</v>
      </c>
      <c r="P14" s="8">
        <v>10</v>
      </c>
      <c r="Q14" s="8">
        <v>10</v>
      </c>
      <c r="R14" s="8">
        <v>10</v>
      </c>
      <c r="S14" s="8">
        <v>10</v>
      </c>
      <c r="T14" s="8">
        <v>10</v>
      </c>
      <c r="U14" s="11"/>
      <c r="V14" s="8">
        <v>10</v>
      </c>
      <c r="W14" s="8">
        <v>10</v>
      </c>
      <c r="X14" s="8"/>
      <c r="Y14" s="8">
        <v>10</v>
      </c>
      <c r="Z14" s="8"/>
      <c r="AA14" s="8">
        <v>10</v>
      </c>
      <c r="AB14" s="13"/>
      <c r="AC14" s="13"/>
      <c r="AD14" s="13">
        <v>10</v>
      </c>
      <c r="AE14" s="13">
        <v>10</v>
      </c>
      <c r="AF14" s="8">
        <f t="shared" si="3"/>
        <v>140</v>
      </c>
    </row>
    <row r="15" spans="1:32" s="5" customFormat="1" ht="53.4" customHeight="1" x14ac:dyDescent="0.3">
      <c r="A15" s="10"/>
      <c r="B15" s="2"/>
      <c r="C15" s="2" t="s">
        <v>2</v>
      </c>
      <c r="D15" s="2" t="s">
        <v>11</v>
      </c>
      <c r="E15" s="2" t="s">
        <v>29</v>
      </c>
      <c r="F15" s="2">
        <v>100</v>
      </c>
      <c r="G15" s="2" t="s">
        <v>1</v>
      </c>
      <c r="H15" s="2" t="s">
        <v>26</v>
      </c>
      <c r="I15" s="3">
        <v>14.94</v>
      </c>
      <c r="J15" s="23">
        <v>34.99</v>
      </c>
      <c r="K15" s="24">
        <f t="shared" si="2"/>
        <v>2.3420348058902278</v>
      </c>
      <c r="L15" s="8">
        <v>10</v>
      </c>
      <c r="M15" s="11"/>
      <c r="N15" s="8">
        <v>10</v>
      </c>
      <c r="O15" s="8">
        <v>10</v>
      </c>
      <c r="P15" s="8">
        <v>10</v>
      </c>
      <c r="Q15" s="8">
        <v>10</v>
      </c>
      <c r="R15" s="8">
        <v>10</v>
      </c>
      <c r="S15" s="8">
        <v>10</v>
      </c>
      <c r="T15" s="8">
        <v>10</v>
      </c>
      <c r="U15" s="11"/>
      <c r="V15" s="8">
        <v>10</v>
      </c>
      <c r="W15" s="8">
        <v>10</v>
      </c>
      <c r="X15" s="8"/>
      <c r="Y15" s="8">
        <v>10</v>
      </c>
      <c r="Z15" s="8"/>
      <c r="AA15" s="8">
        <v>10</v>
      </c>
      <c r="AB15" s="13"/>
      <c r="AC15" s="13"/>
      <c r="AD15" s="13">
        <v>10</v>
      </c>
      <c r="AE15" s="13">
        <v>10</v>
      </c>
      <c r="AF15" s="8">
        <f t="shared" si="3"/>
        <v>140</v>
      </c>
    </row>
    <row r="16" spans="1:32" s="5" customFormat="1" ht="72" customHeight="1" x14ac:dyDescent="0.3">
      <c r="A16" s="10"/>
      <c r="B16" s="2"/>
      <c r="C16" s="2" t="s">
        <v>2</v>
      </c>
      <c r="D16" s="2" t="s">
        <v>12</v>
      </c>
      <c r="E16" s="2" t="s">
        <v>29</v>
      </c>
      <c r="F16" s="2" t="s">
        <v>30</v>
      </c>
      <c r="G16" s="2" t="s">
        <v>1</v>
      </c>
      <c r="H16" s="2" t="s">
        <v>26</v>
      </c>
      <c r="I16" s="3">
        <v>14.94</v>
      </c>
      <c r="J16" s="23">
        <v>34.99</v>
      </c>
      <c r="K16" s="24">
        <f t="shared" si="2"/>
        <v>2.3420348058902278</v>
      </c>
      <c r="L16" s="8">
        <v>10</v>
      </c>
      <c r="M16" s="11"/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T16" s="8">
        <v>10</v>
      </c>
      <c r="U16" s="11"/>
      <c r="V16" s="8">
        <v>10</v>
      </c>
      <c r="W16" s="8">
        <v>10</v>
      </c>
      <c r="X16" s="8"/>
      <c r="Y16" s="8">
        <v>10</v>
      </c>
      <c r="Z16" s="8"/>
      <c r="AA16" s="8">
        <v>10</v>
      </c>
      <c r="AB16" s="13"/>
      <c r="AC16" s="13"/>
      <c r="AD16" s="13">
        <v>10</v>
      </c>
      <c r="AE16" s="13">
        <v>10</v>
      </c>
      <c r="AF16" s="8">
        <f t="shared" si="3"/>
        <v>140</v>
      </c>
    </row>
    <row r="17" spans="1:32" s="5" customFormat="1" ht="72" customHeight="1" x14ac:dyDescent="0.3">
      <c r="A17" s="10"/>
      <c r="B17" s="2"/>
      <c r="C17" s="2" t="s">
        <v>9</v>
      </c>
      <c r="D17" s="2" t="s">
        <v>11</v>
      </c>
      <c r="E17" s="2" t="s">
        <v>33</v>
      </c>
      <c r="F17" s="2">
        <v>100</v>
      </c>
      <c r="G17" s="2" t="s">
        <v>1</v>
      </c>
      <c r="H17" s="2" t="s">
        <v>25</v>
      </c>
      <c r="I17" s="3">
        <v>16.95</v>
      </c>
      <c r="J17" s="23">
        <v>39.99</v>
      </c>
      <c r="K17" s="24">
        <f t="shared" si="2"/>
        <v>2.3592920353982305</v>
      </c>
      <c r="L17" s="8">
        <v>20</v>
      </c>
      <c r="M17" s="8">
        <v>10</v>
      </c>
      <c r="N17" s="8">
        <v>20</v>
      </c>
      <c r="O17" s="8">
        <v>20</v>
      </c>
      <c r="P17" s="8">
        <v>10</v>
      </c>
      <c r="Q17" s="8">
        <v>10</v>
      </c>
      <c r="R17" s="8">
        <v>20</v>
      </c>
      <c r="S17" s="8">
        <v>10</v>
      </c>
      <c r="T17" s="8">
        <v>10</v>
      </c>
      <c r="U17" s="8">
        <v>10</v>
      </c>
      <c r="V17" s="8">
        <v>10</v>
      </c>
      <c r="W17" s="8">
        <v>20</v>
      </c>
      <c r="X17" s="8">
        <v>10</v>
      </c>
      <c r="Y17" s="8">
        <v>20</v>
      </c>
      <c r="Z17" s="8">
        <v>10</v>
      </c>
      <c r="AA17" s="8">
        <v>20</v>
      </c>
      <c r="AB17" s="8">
        <v>10</v>
      </c>
      <c r="AC17" s="8">
        <v>10</v>
      </c>
      <c r="AD17" s="8">
        <v>20</v>
      </c>
      <c r="AE17" s="8">
        <v>10</v>
      </c>
      <c r="AF17" s="8">
        <f t="shared" si="3"/>
        <v>280</v>
      </c>
    </row>
    <row r="18" spans="1:32" s="5" customFormat="1" ht="72" customHeight="1" x14ac:dyDescent="0.3">
      <c r="A18" s="10"/>
      <c r="B18" s="2"/>
      <c r="C18" s="2" t="s">
        <v>9</v>
      </c>
      <c r="D18" s="2" t="s">
        <v>18</v>
      </c>
      <c r="E18" s="2" t="s">
        <v>33</v>
      </c>
      <c r="F18" s="2">
        <v>900</v>
      </c>
      <c r="G18" s="2" t="s">
        <v>1</v>
      </c>
      <c r="H18" s="2" t="s">
        <v>25</v>
      </c>
      <c r="I18" s="3">
        <v>16.95</v>
      </c>
      <c r="J18" s="23">
        <v>39.99</v>
      </c>
      <c r="K18" s="24">
        <f t="shared" si="2"/>
        <v>2.3592920353982305</v>
      </c>
      <c r="L18" s="8">
        <v>20</v>
      </c>
      <c r="M18" s="8">
        <v>10</v>
      </c>
      <c r="N18" s="8">
        <v>10</v>
      </c>
      <c r="O18" s="8">
        <v>10</v>
      </c>
      <c r="P18" s="8">
        <v>10</v>
      </c>
      <c r="Q18" s="8">
        <v>10</v>
      </c>
      <c r="R18" s="8">
        <v>10</v>
      </c>
      <c r="S18" s="8">
        <v>10</v>
      </c>
      <c r="T18" s="8">
        <v>10</v>
      </c>
      <c r="U18" s="8">
        <v>10</v>
      </c>
      <c r="V18" s="8">
        <v>10</v>
      </c>
      <c r="W18" s="8">
        <v>10</v>
      </c>
      <c r="X18" s="8">
        <v>10</v>
      </c>
      <c r="Y18" s="8">
        <v>10</v>
      </c>
      <c r="Z18" s="8">
        <v>10</v>
      </c>
      <c r="AA18" s="8">
        <v>10</v>
      </c>
      <c r="AB18" s="8">
        <v>10</v>
      </c>
      <c r="AC18" s="8">
        <v>10</v>
      </c>
      <c r="AD18" s="8">
        <v>10</v>
      </c>
      <c r="AE18" s="8">
        <v>10</v>
      </c>
      <c r="AF18" s="8">
        <f t="shared" si="3"/>
        <v>210</v>
      </c>
    </row>
    <row r="19" spans="1:32" s="5" customFormat="1" ht="72" customHeight="1" x14ac:dyDescent="0.3">
      <c r="A19" s="10"/>
      <c r="B19" s="2"/>
      <c r="C19" s="2" t="s">
        <v>9</v>
      </c>
      <c r="D19" s="2" t="s">
        <v>12</v>
      </c>
      <c r="E19" s="2" t="s">
        <v>33</v>
      </c>
      <c r="F19" s="14" t="s">
        <v>30</v>
      </c>
      <c r="G19" s="2" t="s">
        <v>1</v>
      </c>
      <c r="H19" s="2" t="s">
        <v>25</v>
      </c>
      <c r="I19" s="3">
        <v>16.95</v>
      </c>
      <c r="J19" s="23">
        <v>39.99</v>
      </c>
      <c r="K19" s="24">
        <f t="shared" si="2"/>
        <v>2.3592920353982305</v>
      </c>
      <c r="L19" s="8">
        <v>20</v>
      </c>
      <c r="M19" s="8">
        <v>10</v>
      </c>
      <c r="N19" s="8">
        <v>20</v>
      </c>
      <c r="O19" s="8">
        <v>20</v>
      </c>
      <c r="P19" s="8">
        <v>10</v>
      </c>
      <c r="Q19" s="8">
        <v>10</v>
      </c>
      <c r="R19" s="8">
        <v>20</v>
      </c>
      <c r="S19" s="8">
        <v>10</v>
      </c>
      <c r="T19" s="8">
        <v>10</v>
      </c>
      <c r="U19" s="8">
        <v>10</v>
      </c>
      <c r="V19" s="8">
        <v>10</v>
      </c>
      <c r="W19" s="8">
        <v>20</v>
      </c>
      <c r="X19" s="8">
        <v>10</v>
      </c>
      <c r="Y19" s="8">
        <v>20</v>
      </c>
      <c r="Z19" s="8">
        <v>10</v>
      </c>
      <c r="AA19" s="8">
        <v>20</v>
      </c>
      <c r="AB19" s="8">
        <v>10</v>
      </c>
      <c r="AC19" s="8">
        <v>10</v>
      </c>
      <c r="AD19" s="8">
        <v>20</v>
      </c>
      <c r="AE19" s="8">
        <v>10</v>
      </c>
      <c r="AF19" s="8">
        <f t="shared" si="3"/>
        <v>280</v>
      </c>
    </row>
    <row r="20" spans="1:32" s="5" customFormat="1" ht="72" customHeight="1" x14ac:dyDescent="0.3">
      <c r="A20" s="10"/>
      <c r="B20" s="2"/>
      <c r="C20" s="2" t="s">
        <v>9</v>
      </c>
      <c r="D20" s="2" t="s">
        <v>11</v>
      </c>
      <c r="E20" s="2" t="s">
        <v>33</v>
      </c>
      <c r="F20" s="2">
        <v>100</v>
      </c>
      <c r="G20" s="2" t="s">
        <v>1</v>
      </c>
      <c r="H20" s="2" t="s">
        <v>26</v>
      </c>
      <c r="I20" s="3">
        <v>16.95</v>
      </c>
      <c r="J20" s="23">
        <v>39.99</v>
      </c>
      <c r="K20" s="24">
        <f t="shared" si="2"/>
        <v>2.3592920353982305</v>
      </c>
      <c r="L20" s="8">
        <v>20</v>
      </c>
      <c r="M20" s="8">
        <v>10</v>
      </c>
      <c r="N20" s="8">
        <v>20</v>
      </c>
      <c r="O20" s="8">
        <v>20</v>
      </c>
      <c r="P20" s="8">
        <v>10</v>
      </c>
      <c r="Q20" s="8">
        <v>10</v>
      </c>
      <c r="R20" s="8">
        <v>20</v>
      </c>
      <c r="S20" s="8">
        <v>10</v>
      </c>
      <c r="T20" s="8">
        <v>10</v>
      </c>
      <c r="U20" s="8">
        <v>10</v>
      </c>
      <c r="V20" s="8">
        <v>10</v>
      </c>
      <c r="W20" s="8">
        <v>20</v>
      </c>
      <c r="X20" s="8">
        <v>10</v>
      </c>
      <c r="Y20" s="8">
        <v>20</v>
      </c>
      <c r="Z20" s="8">
        <v>10</v>
      </c>
      <c r="AA20" s="8">
        <v>20</v>
      </c>
      <c r="AB20" s="8">
        <v>10</v>
      </c>
      <c r="AC20" s="8">
        <v>10</v>
      </c>
      <c r="AD20" s="8">
        <v>20</v>
      </c>
      <c r="AE20" s="8">
        <v>10</v>
      </c>
      <c r="AF20" s="8">
        <f t="shared" si="3"/>
        <v>280</v>
      </c>
    </row>
    <row r="21" spans="1:32" s="5" customFormat="1" ht="72" customHeight="1" x14ac:dyDescent="0.3">
      <c r="A21" s="10"/>
      <c r="B21" s="2"/>
      <c r="C21" s="2" t="s">
        <v>9</v>
      </c>
      <c r="D21" s="2" t="s">
        <v>18</v>
      </c>
      <c r="E21" s="2" t="s">
        <v>33</v>
      </c>
      <c r="F21" s="2">
        <v>900</v>
      </c>
      <c r="G21" s="2" t="s">
        <v>1</v>
      </c>
      <c r="H21" s="2" t="s">
        <v>26</v>
      </c>
      <c r="I21" s="3">
        <v>16.95</v>
      </c>
      <c r="J21" s="23">
        <v>39.99</v>
      </c>
      <c r="K21" s="24">
        <f t="shared" si="2"/>
        <v>2.3592920353982305</v>
      </c>
      <c r="L21" s="8">
        <v>20</v>
      </c>
      <c r="M21" s="8">
        <v>10</v>
      </c>
      <c r="N21" s="8">
        <v>10</v>
      </c>
      <c r="O21" s="8">
        <v>10</v>
      </c>
      <c r="P21" s="8">
        <v>10</v>
      </c>
      <c r="Q21" s="8">
        <v>10</v>
      </c>
      <c r="R21" s="8">
        <v>10</v>
      </c>
      <c r="S21" s="8">
        <v>10</v>
      </c>
      <c r="T21" s="8">
        <v>10</v>
      </c>
      <c r="U21" s="8">
        <v>10</v>
      </c>
      <c r="V21" s="8">
        <v>10</v>
      </c>
      <c r="W21" s="8">
        <v>10</v>
      </c>
      <c r="X21" s="8">
        <v>10</v>
      </c>
      <c r="Y21" s="8">
        <v>10</v>
      </c>
      <c r="Z21" s="8">
        <v>10</v>
      </c>
      <c r="AA21" s="8">
        <v>10</v>
      </c>
      <c r="AB21" s="8">
        <v>10</v>
      </c>
      <c r="AC21" s="8">
        <v>10</v>
      </c>
      <c r="AD21" s="8">
        <v>10</v>
      </c>
      <c r="AE21" s="8">
        <v>10</v>
      </c>
      <c r="AF21" s="8">
        <f t="shared" si="3"/>
        <v>210</v>
      </c>
    </row>
    <row r="22" spans="1:32" s="5" customFormat="1" ht="72" customHeight="1" x14ac:dyDescent="0.3">
      <c r="A22" s="10"/>
      <c r="B22" s="2"/>
      <c r="C22" s="2" t="s">
        <v>9</v>
      </c>
      <c r="D22" s="2" t="s">
        <v>12</v>
      </c>
      <c r="E22" s="2" t="s">
        <v>33</v>
      </c>
      <c r="F22" s="14" t="s">
        <v>30</v>
      </c>
      <c r="G22" s="2" t="s">
        <v>1</v>
      </c>
      <c r="H22" s="2" t="s">
        <v>26</v>
      </c>
      <c r="I22" s="3">
        <v>16.95</v>
      </c>
      <c r="J22" s="23">
        <v>39.99</v>
      </c>
      <c r="K22" s="24">
        <f t="shared" si="2"/>
        <v>2.3592920353982305</v>
      </c>
      <c r="L22" s="8">
        <v>20</v>
      </c>
      <c r="M22" s="8">
        <v>10</v>
      </c>
      <c r="N22" s="8">
        <v>20</v>
      </c>
      <c r="O22" s="8">
        <v>20</v>
      </c>
      <c r="P22" s="8">
        <v>10</v>
      </c>
      <c r="Q22" s="8">
        <v>10</v>
      </c>
      <c r="R22" s="8">
        <v>20</v>
      </c>
      <c r="S22" s="8">
        <v>10</v>
      </c>
      <c r="T22" s="8">
        <v>10</v>
      </c>
      <c r="U22" s="8">
        <v>10</v>
      </c>
      <c r="V22" s="8">
        <v>10</v>
      </c>
      <c r="W22" s="8">
        <v>20</v>
      </c>
      <c r="X22" s="8">
        <v>10</v>
      </c>
      <c r="Y22" s="8">
        <v>20</v>
      </c>
      <c r="Z22" s="8">
        <v>10</v>
      </c>
      <c r="AA22" s="8">
        <v>20</v>
      </c>
      <c r="AB22" s="8">
        <v>10</v>
      </c>
      <c r="AC22" s="8">
        <v>10</v>
      </c>
      <c r="AD22" s="8">
        <v>20</v>
      </c>
      <c r="AE22" s="8">
        <v>10</v>
      </c>
      <c r="AF22" s="8">
        <f t="shared" si="3"/>
        <v>280</v>
      </c>
    </row>
    <row r="23" spans="1:32" s="5" customFormat="1" ht="37.200000000000003" customHeight="1" x14ac:dyDescent="0.3">
      <c r="A23" s="10"/>
      <c r="B23" s="2"/>
      <c r="C23" s="2" t="s">
        <v>13</v>
      </c>
      <c r="D23" s="2" t="s">
        <v>11</v>
      </c>
      <c r="E23" s="2" t="s">
        <v>34</v>
      </c>
      <c r="F23" s="2">
        <v>100</v>
      </c>
      <c r="G23" s="2" t="s">
        <v>6</v>
      </c>
      <c r="H23" s="2" t="s">
        <v>25</v>
      </c>
      <c r="I23" s="4">
        <v>19.52</v>
      </c>
      <c r="J23" s="23">
        <v>49.99</v>
      </c>
      <c r="K23" s="24">
        <f t="shared" si="2"/>
        <v>2.5609631147540983</v>
      </c>
      <c r="L23" s="8">
        <v>24</v>
      </c>
      <c r="M23" s="8">
        <v>24</v>
      </c>
      <c r="N23" s="8">
        <v>24</v>
      </c>
      <c r="O23" s="8">
        <v>24</v>
      </c>
      <c r="P23" s="8">
        <v>24</v>
      </c>
      <c r="Q23" s="8">
        <v>24</v>
      </c>
      <c r="R23" s="8">
        <v>24</v>
      </c>
      <c r="S23" s="8">
        <v>24</v>
      </c>
      <c r="T23" s="8">
        <v>12</v>
      </c>
      <c r="U23" s="8">
        <v>24</v>
      </c>
      <c r="V23" s="8">
        <v>24</v>
      </c>
      <c r="W23" s="8">
        <v>24</v>
      </c>
      <c r="X23" s="8">
        <v>12</v>
      </c>
      <c r="Y23" s="8">
        <v>24</v>
      </c>
      <c r="Z23" s="8">
        <v>24</v>
      </c>
      <c r="AA23" s="8">
        <v>24</v>
      </c>
      <c r="AB23" s="8">
        <v>12</v>
      </c>
      <c r="AC23" s="8">
        <v>12</v>
      </c>
      <c r="AD23" s="8">
        <v>24</v>
      </c>
      <c r="AE23" s="8">
        <v>12</v>
      </c>
      <c r="AF23" s="8">
        <f t="shared" si="3"/>
        <v>420</v>
      </c>
    </row>
    <row r="24" spans="1:32" s="5" customFormat="1" ht="72" customHeight="1" x14ac:dyDescent="0.3">
      <c r="A24" s="10"/>
      <c r="B24" s="2"/>
      <c r="C24" s="2" t="s">
        <v>13</v>
      </c>
      <c r="D24" s="2" t="s">
        <v>15</v>
      </c>
      <c r="E24" s="2" t="s">
        <v>34</v>
      </c>
      <c r="F24" s="2">
        <v>101</v>
      </c>
      <c r="G24" s="2" t="s">
        <v>6</v>
      </c>
      <c r="H24" s="2" t="s">
        <v>25</v>
      </c>
      <c r="I24" s="4">
        <v>19.52</v>
      </c>
      <c r="J24" s="23">
        <v>49.99</v>
      </c>
      <c r="K24" s="24">
        <f t="shared" si="2"/>
        <v>2.5609631147540983</v>
      </c>
      <c r="L24" s="8">
        <v>20</v>
      </c>
      <c r="M24" s="8">
        <v>10</v>
      </c>
      <c r="N24" s="8">
        <v>10</v>
      </c>
      <c r="O24" s="8">
        <v>10</v>
      </c>
      <c r="P24" s="8">
        <v>10</v>
      </c>
      <c r="Q24" s="8">
        <v>10</v>
      </c>
      <c r="R24" s="8">
        <v>10</v>
      </c>
      <c r="S24" s="8">
        <v>10</v>
      </c>
      <c r="T24" s="8">
        <v>10</v>
      </c>
      <c r="U24" s="8">
        <v>10</v>
      </c>
      <c r="V24" s="8">
        <v>10</v>
      </c>
      <c r="W24" s="8">
        <v>10</v>
      </c>
      <c r="X24" s="8">
        <v>10</v>
      </c>
      <c r="Y24" s="8">
        <v>10</v>
      </c>
      <c r="Z24" s="8">
        <v>10</v>
      </c>
      <c r="AA24" s="8">
        <v>10</v>
      </c>
      <c r="AB24" s="8">
        <v>10</v>
      </c>
      <c r="AC24" s="8">
        <v>10</v>
      </c>
      <c r="AD24" s="8">
        <v>10</v>
      </c>
      <c r="AE24" s="8">
        <v>10</v>
      </c>
      <c r="AF24" s="8">
        <f t="shared" si="3"/>
        <v>210</v>
      </c>
    </row>
    <row r="25" spans="1:32" s="5" customFormat="1" ht="72" customHeight="1" x14ac:dyDescent="0.3">
      <c r="A25" s="10"/>
      <c r="B25" s="2"/>
      <c r="C25" s="2" t="s">
        <v>13</v>
      </c>
      <c r="D25" s="2" t="s">
        <v>12</v>
      </c>
      <c r="E25" s="2" t="s">
        <v>34</v>
      </c>
      <c r="F25" s="14" t="s">
        <v>30</v>
      </c>
      <c r="G25" s="2" t="s">
        <v>6</v>
      </c>
      <c r="H25" s="2" t="s">
        <v>25</v>
      </c>
      <c r="I25" s="4">
        <v>19.52</v>
      </c>
      <c r="J25" s="23">
        <v>49.99</v>
      </c>
      <c r="K25" s="24">
        <f t="shared" si="2"/>
        <v>2.5609631147540983</v>
      </c>
      <c r="L25" s="8">
        <v>24</v>
      </c>
      <c r="M25" s="8">
        <v>24</v>
      </c>
      <c r="N25" s="8">
        <v>24</v>
      </c>
      <c r="O25" s="8">
        <v>24</v>
      </c>
      <c r="P25" s="8">
        <v>24</v>
      </c>
      <c r="Q25" s="8">
        <v>24</v>
      </c>
      <c r="R25" s="8">
        <v>24</v>
      </c>
      <c r="S25" s="8">
        <v>24</v>
      </c>
      <c r="T25" s="8">
        <v>12</v>
      </c>
      <c r="U25" s="8">
        <v>24</v>
      </c>
      <c r="V25" s="8">
        <v>24</v>
      </c>
      <c r="W25" s="8">
        <v>24</v>
      </c>
      <c r="X25" s="8">
        <v>12</v>
      </c>
      <c r="Y25" s="8">
        <v>24</v>
      </c>
      <c r="Z25" s="8">
        <v>24</v>
      </c>
      <c r="AA25" s="8">
        <v>24</v>
      </c>
      <c r="AB25" s="8">
        <v>12</v>
      </c>
      <c r="AC25" s="8">
        <v>12</v>
      </c>
      <c r="AD25" s="8">
        <v>24</v>
      </c>
      <c r="AE25" s="8">
        <v>12</v>
      </c>
      <c r="AF25" s="8">
        <f t="shared" si="3"/>
        <v>420</v>
      </c>
    </row>
    <row r="26" spans="1:32" s="5" customFormat="1" ht="72" customHeight="1" x14ac:dyDescent="0.3">
      <c r="A26" s="10"/>
      <c r="B26" s="2" t="s">
        <v>19</v>
      </c>
      <c r="C26" s="2" t="s">
        <v>13</v>
      </c>
      <c r="D26" s="2" t="s">
        <v>21</v>
      </c>
      <c r="E26" s="2" t="s">
        <v>34</v>
      </c>
      <c r="F26" s="2">
        <v>200</v>
      </c>
      <c r="G26" s="2" t="s">
        <v>6</v>
      </c>
      <c r="H26" s="2" t="s">
        <v>25</v>
      </c>
      <c r="I26" s="4">
        <v>19.52</v>
      </c>
      <c r="J26" s="23">
        <v>49.99</v>
      </c>
      <c r="K26" s="24">
        <f t="shared" si="2"/>
        <v>2.5609631147540983</v>
      </c>
      <c r="L26" s="8">
        <v>20</v>
      </c>
      <c r="M26" s="8">
        <v>10</v>
      </c>
      <c r="N26" s="8">
        <v>10</v>
      </c>
      <c r="O26" s="8">
        <v>10</v>
      </c>
      <c r="P26" s="8">
        <v>10</v>
      </c>
      <c r="Q26" s="8">
        <v>10</v>
      </c>
      <c r="R26" s="8">
        <v>10</v>
      </c>
      <c r="S26" s="8">
        <v>10</v>
      </c>
      <c r="T26" s="8">
        <v>10</v>
      </c>
      <c r="U26" s="8">
        <v>10</v>
      </c>
      <c r="V26" s="8">
        <v>10</v>
      </c>
      <c r="W26" s="8">
        <v>10</v>
      </c>
      <c r="X26" s="8">
        <v>10</v>
      </c>
      <c r="Y26" s="8">
        <v>10</v>
      </c>
      <c r="Z26" s="8">
        <v>10</v>
      </c>
      <c r="AA26" s="8">
        <v>10</v>
      </c>
      <c r="AB26" s="8">
        <v>10</v>
      </c>
      <c r="AC26" s="8">
        <v>10</v>
      </c>
      <c r="AD26" s="8">
        <v>10</v>
      </c>
      <c r="AE26" s="8">
        <v>10</v>
      </c>
      <c r="AF26" s="8">
        <f t="shared" si="3"/>
        <v>210</v>
      </c>
    </row>
    <row r="27" spans="1:32" s="5" customFormat="1" ht="72" customHeight="1" x14ac:dyDescent="0.3">
      <c r="A27" s="10"/>
      <c r="B27" s="2" t="s">
        <v>20</v>
      </c>
      <c r="C27" s="2" t="s">
        <v>13</v>
      </c>
      <c r="D27" s="2" t="s">
        <v>22</v>
      </c>
      <c r="E27" s="2" t="s">
        <v>34</v>
      </c>
      <c r="F27" s="2">
        <v>300</v>
      </c>
      <c r="G27" s="2" t="s">
        <v>6</v>
      </c>
      <c r="H27" s="2" t="s">
        <v>25</v>
      </c>
      <c r="I27" s="4">
        <v>19.52</v>
      </c>
      <c r="J27" s="23">
        <v>49.99</v>
      </c>
      <c r="K27" s="24">
        <f t="shared" si="2"/>
        <v>2.5609631147540983</v>
      </c>
      <c r="L27" s="8">
        <v>10</v>
      </c>
      <c r="M27" s="11"/>
      <c r="N27" s="8">
        <v>10</v>
      </c>
      <c r="O27" s="8">
        <v>10</v>
      </c>
      <c r="P27" s="8">
        <v>10</v>
      </c>
      <c r="Q27" s="8">
        <v>10</v>
      </c>
      <c r="R27" s="8">
        <v>10</v>
      </c>
      <c r="S27" s="8">
        <v>10</v>
      </c>
      <c r="T27" s="8">
        <v>10</v>
      </c>
      <c r="U27" s="11"/>
      <c r="V27" s="8">
        <v>10</v>
      </c>
      <c r="W27" s="8">
        <v>10</v>
      </c>
      <c r="X27" s="8"/>
      <c r="Y27" s="8">
        <v>10</v>
      </c>
      <c r="Z27" s="8"/>
      <c r="AA27" s="8">
        <v>10</v>
      </c>
      <c r="AB27" s="13"/>
      <c r="AC27" s="13"/>
      <c r="AD27" s="13">
        <v>10</v>
      </c>
      <c r="AE27" s="13">
        <v>10</v>
      </c>
      <c r="AF27" s="8">
        <f t="shared" si="3"/>
        <v>140</v>
      </c>
    </row>
    <row r="28" spans="1:32" s="5" customFormat="1" ht="72" customHeight="1" x14ac:dyDescent="0.3">
      <c r="A28" s="10"/>
      <c r="B28" s="2"/>
      <c r="C28" s="2" t="s">
        <v>13</v>
      </c>
      <c r="D28" s="2" t="s">
        <v>11</v>
      </c>
      <c r="E28" s="2" t="s">
        <v>34</v>
      </c>
      <c r="F28" s="2">
        <v>100</v>
      </c>
      <c r="G28" s="2" t="s">
        <v>6</v>
      </c>
      <c r="H28" s="2" t="s">
        <v>26</v>
      </c>
      <c r="I28" s="4">
        <v>19.52</v>
      </c>
      <c r="J28" s="23">
        <v>49.99</v>
      </c>
      <c r="K28" s="24">
        <f t="shared" si="2"/>
        <v>2.5609631147540983</v>
      </c>
      <c r="L28" s="8">
        <v>24</v>
      </c>
      <c r="M28" s="8">
        <v>24</v>
      </c>
      <c r="N28" s="8">
        <v>24</v>
      </c>
      <c r="O28" s="8">
        <v>24</v>
      </c>
      <c r="P28" s="8">
        <v>24</v>
      </c>
      <c r="Q28" s="8">
        <v>24</v>
      </c>
      <c r="R28" s="8">
        <v>24</v>
      </c>
      <c r="S28" s="8">
        <v>24</v>
      </c>
      <c r="T28" s="8">
        <v>12</v>
      </c>
      <c r="U28" s="8">
        <v>24</v>
      </c>
      <c r="V28" s="8">
        <v>24</v>
      </c>
      <c r="W28" s="8">
        <v>24</v>
      </c>
      <c r="X28" s="8">
        <v>12</v>
      </c>
      <c r="Y28" s="8">
        <v>24</v>
      </c>
      <c r="Z28" s="8">
        <v>24</v>
      </c>
      <c r="AA28" s="8">
        <v>24</v>
      </c>
      <c r="AB28" s="8">
        <v>12</v>
      </c>
      <c r="AC28" s="8">
        <v>12</v>
      </c>
      <c r="AD28" s="8">
        <v>24</v>
      </c>
      <c r="AE28" s="8">
        <v>12</v>
      </c>
      <c r="AF28" s="8">
        <f t="shared" si="3"/>
        <v>420</v>
      </c>
    </row>
    <row r="29" spans="1:32" s="5" customFormat="1" ht="72" customHeight="1" x14ac:dyDescent="0.3">
      <c r="A29" s="10"/>
      <c r="B29" s="2"/>
      <c r="C29" s="2" t="s">
        <v>13</v>
      </c>
      <c r="D29" s="2" t="s">
        <v>15</v>
      </c>
      <c r="E29" s="2" t="s">
        <v>34</v>
      </c>
      <c r="F29" s="2">
        <v>101</v>
      </c>
      <c r="G29" s="2" t="s">
        <v>6</v>
      </c>
      <c r="H29" s="2" t="s">
        <v>26</v>
      </c>
      <c r="I29" s="4">
        <v>19.52</v>
      </c>
      <c r="J29" s="23">
        <v>49.99</v>
      </c>
      <c r="K29" s="24">
        <f t="shared" si="2"/>
        <v>2.5609631147540983</v>
      </c>
      <c r="L29" s="8">
        <v>20</v>
      </c>
      <c r="M29" s="8">
        <v>10</v>
      </c>
      <c r="N29" s="8">
        <v>10</v>
      </c>
      <c r="O29" s="8">
        <v>10</v>
      </c>
      <c r="P29" s="8">
        <v>10</v>
      </c>
      <c r="Q29" s="8">
        <v>10</v>
      </c>
      <c r="R29" s="8">
        <v>10</v>
      </c>
      <c r="S29" s="8">
        <v>10</v>
      </c>
      <c r="T29" s="8">
        <v>10</v>
      </c>
      <c r="U29" s="8">
        <v>10</v>
      </c>
      <c r="V29" s="8">
        <v>10</v>
      </c>
      <c r="W29" s="8">
        <v>10</v>
      </c>
      <c r="X29" s="8">
        <v>10</v>
      </c>
      <c r="Y29" s="8">
        <v>10</v>
      </c>
      <c r="Z29" s="8">
        <v>10</v>
      </c>
      <c r="AA29" s="8">
        <v>10</v>
      </c>
      <c r="AB29" s="8">
        <v>10</v>
      </c>
      <c r="AC29" s="8">
        <v>10</v>
      </c>
      <c r="AD29" s="8">
        <v>10</v>
      </c>
      <c r="AE29" s="8">
        <v>10</v>
      </c>
      <c r="AF29" s="8">
        <f t="shared" si="3"/>
        <v>210</v>
      </c>
    </row>
    <row r="30" spans="1:32" s="5" customFormat="1" ht="72" customHeight="1" x14ac:dyDescent="0.3">
      <c r="A30" s="10"/>
      <c r="B30" s="2"/>
      <c r="C30" s="2" t="s">
        <v>13</v>
      </c>
      <c r="D30" s="2" t="s">
        <v>12</v>
      </c>
      <c r="E30" s="2" t="s">
        <v>34</v>
      </c>
      <c r="F30" s="2" t="s">
        <v>30</v>
      </c>
      <c r="G30" s="2" t="s">
        <v>6</v>
      </c>
      <c r="H30" s="2" t="s">
        <v>26</v>
      </c>
      <c r="I30" s="4">
        <v>19.52</v>
      </c>
      <c r="J30" s="23">
        <v>49.99</v>
      </c>
      <c r="K30" s="24">
        <f t="shared" si="2"/>
        <v>2.5609631147540983</v>
      </c>
      <c r="L30" s="8">
        <v>24</v>
      </c>
      <c r="M30" s="8">
        <v>24</v>
      </c>
      <c r="N30" s="8">
        <v>24</v>
      </c>
      <c r="O30" s="8">
        <v>24</v>
      </c>
      <c r="P30" s="8">
        <v>24</v>
      </c>
      <c r="Q30" s="8">
        <v>24</v>
      </c>
      <c r="R30" s="8">
        <v>24</v>
      </c>
      <c r="S30" s="8">
        <v>24</v>
      </c>
      <c r="T30" s="8">
        <v>12</v>
      </c>
      <c r="U30" s="8">
        <v>24</v>
      </c>
      <c r="V30" s="8">
        <v>24</v>
      </c>
      <c r="W30" s="8">
        <v>24</v>
      </c>
      <c r="X30" s="8">
        <v>12</v>
      </c>
      <c r="Y30" s="8">
        <v>24</v>
      </c>
      <c r="Z30" s="8">
        <v>24</v>
      </c>
      <c r="AA30" s="8">
        <v>24</v>
      </c>
      <c r="AB30" s="8">
        <v>12</v>
      </c>
      <c r="AC30" s="8">
        <v>12</v>
      </c>
      <c r="AD30" s="8">
        <v>24</v>
      </c>
      <c r="AE30" s="8">
        <v>12</v>
      </c>
      <c r="AF30" s="8">
        <f t="shared" si="3"/>
        <v>420</v>
      </c>
    </row>
    <row r="31" spans="1:32" s="5" customFormat="1" ht="72" customHeight="1" x14ac:dyDescent="0.3">
      <c r="A31" s="10"/>
      <c r="B31" s="2" t="s">
        <v>19</v>
      </c>
      <c r="C31" s="2" t="s">
        <v>13</v>
      </c>
      <c r="D31" s="2" t="s">
        <v>21</v>
      </c>
      <c r="E31" s="2" t="s">
        <v>34</v>
      </c>
      <c r="F31" s="2">
        <v>200</v>
      </c>
      <c r="G31" s="2" t="s">
        <v>6</v>
      </c>
      <c r="H31" s="2" t="s">
        <v>26</v>
      </c>
      <c r="I31" s="4">
        <v>19.52</v>
      </c>
      <c r="J31" s="23">
        <v>49.99</v>
      </c>
      <c r="K31" s="24">
        <f t="shared" si="2"/>
        <v>2.5609631147540983</v>
      </c>
      <c r="L31" s="8">
        <v>20</v>
      </c>
      <c r="M31" s="8">
        <v>10</v>
      </c>
      <c r="N31" s="8">
        <v>20</v>
      </c>
      <c r="O31" s="8">
        <v>20</v>
      </c>
      <c r="P31" s="8">
        <v>10</v>
      </c>
      <c r="Q31" s="8">
        <v>20</v>
      </c>
      <c r="R31" s="8">
        <v>20</v>
      </c>
      <c r="S31" s="8">
        <v>10</v>
      </c>
      <c r="T31" s="8">
        <v>10</v>
      </c>
      <c r="U31" s="8">
        <v>10</v>
      </c>
      <c r="V31" s="8">
        <v>10</v>
      </c>
      <c r="W31" s="8">
        <v>10</v>
      </c>
      <c r="X31" s="8">
        <v>10</v>
      </c>
      <c r="Y31" s="8">
        <v>20</v>
      </c>
      <c r="Z31" s="8">
        <v>10</v>
      </c>
      <c r="AA31" s="8">
        <v>20</v>
      </c>
      <c r="AB31" s="8">
        <v>10</v>
      </c>
      <c r="AC31" s="8">
        <v>10</v>
      </c>
      <c r="AD31" s="8">
        <v>20</v>
      </c>
      <c r="AE31" s="8">
        <v>10</v>
      </c>
      <c r="AF31" s="8">
        <f t="shared" si="3"/>
        <v>280</v>
      </c>
    </row>
    <row r="32" spans="1:32" s="5" customFormat="1" ht="72" customHeight="1" x14ac:dyDescent="0.3">
      <c r="A32" s="10"/>
      <c r="B32" s="2" t="s">
        <v>20</v>
      </c>
      <c r="C32" s="2" t="s">
        <v>13</v>
      </c>
      <c r="D32" s="2" t="s">
        <v>22</v>
      </c>
      <c r="E32" s="2" t="s">
        <v>34</v>
      </c>
      <c r="F32" s="2">
        <v>300</v>
      </c>
      <c r="G32" s="2" t="s">
        <v>6</v>
      </c>
      <c r="H32" s="2" t="s">
        <v>26</v>
      </c>
      <c r="I32" s="4">
        <v>19.52</v>
      </c>
      <c r="J32" s="23">
        <v>49.99</v>
      </c>
      <c r="K32" s="24">
        <f t="shared" si="2"/>
        <v>2.5609631147540983</v>
      </c>
      <c r="L32" s="8">
        <v>20</v>
      </c>
      <c r="M32" s="8">
        <v>10</v>
      </c>
      <c r="N32" s="8">
        <v>10</v>
      </c>
      <c r="O32" s="8">
        <v>10</v>
      </c>
      <c r="P32" s="8">
        <v>10</v>
      </c>
      <c r="Q32" s="8">
        <v>10</v>
      </c>
      <c r="R32" s="8">
        <v>10</v>
      </c>
      <c r="S32" s="8">
        <v>10</v>
      </c>
      <c r="T32" s="8">
        <v>10</v>
      </c>
      <c r="U32" s="8">
        <v>10</v>
      </c>
      <c r="V32" s="8">
        <v>10</v>
      </c>
      <c r="W32" s="8">
        <v>10</v>
      </c>
      <c r="X32" s="8">
        <v>10</v>
      </c>
      <c r="Y32" s="8">
        <v>10</v>
      </c>
      <c r="Z32" s="8">
        <v>10</v>
      </c>
      <c r="AA32" s="8">
        <v>10</v>
      </c>
      <c r="AB32" s="8">
        <v>10</v>
      </c>
      <c r="AC32" s="8">
        <v>10</v>
      </c>
      <c r="AD32" s="8">
        <v>10</v>
      </c>
      <c r="AE32" s="8">
        <v>10</v>
      </c>
      <c r="AF32" s="8">
        <f t="shared" si="3"/>
        <v>210</v>
      </c>
    </row>
    <row r="33" spans="1:32" s="5" customFormat="1" ht="72" customHeight="1" x14ac:dyDescent="0.3">
      <c r="A33" s="10"/>
      <c r="B33" s="2"/>
      <c r="C33" s="2" t="s">
        <v>14</v>
      </c>
      <c r="D33" s="2" t="s">
        <v>24</v>
      </c>
      <c r="E33" s="2" t="s">
        <v>27</v>
      </c>
      <c r="F33" s="2">
        <v>102</v>
      </c>
      <c r="G33" s="2" t="s">
        <v>1</v>
      </c>
      <c r="H33" s="2" t="s">
        <v>25</v>
      </c>
      <c r="I33" s="3">
        <v>15.32</v>
      </c>
      <c r="J33" s="23">
        <v>39.99</v>
      </c>
      <c r="K33" s="24">
        <f t="shared" si="2"/>
        <v>2.6103133159268932</v>
      </c>
      <c r="L33" s="8">
        <v>24</v>
      </c>
      <c r="M33" s="8">
        <v>24</v>
      </c>
      <c r="N33" s="8">
        <v>24</v>
      </c>
      <c r="O33" s="8">
        <v>24</v>
      </c>
      <c r="P33" s="8">
        <v>24</v>
      </c>
      <c r="Q33" s="8">
        <v>24</v>
      </c>
      <c r="R33" s="8">
        <v>24</v>
      </c>
      <c r="S33" s="8">
        <v>24</v>
      </c>
      <c r="T33" s="8">
        <v>12</v>
      </c>
      <c r="U33" s="8">
        <v>24</v>
      </c>
      <c r="V33" s="8">
        <v>24</v>
      </c>
      <c r="W33" s="8">
        <v>24</v>
      </c>
      <c r="X33" s="8">
        <v>12</v>
      </c>
      <c r="Y33" s="8">
        <v>24</v>
      </c>
      <c r="Z33" s="8">
        <v>24</v>
      </c>
      <c r="AA33" s="8">
        <v>24</v>
      </c>
      <c r="AB33" s="8">
        <v>12</v>
      </c>
      <c r="AC33" s="8">
        <v>12</v>
      </c>
      <c r="AD33" s="8">
        <v>24</v>
      </c>
      <c r="AE33" s="8">
        <v>12</v>
      </c>
      <c r="AF33" s="8">
        <f t="shared" si="3"/>
        <v>420</v>
      </c>
    </row>
    <row r="34" spans="1:32" s="5" customFormat="1" ht="72" customHeight="1" x14ac:dyDescent="0.3">
      <c r="A34" s="10"/>
      <c r="B34" s="2"/>
      <c r="C34" s="2" t="s">
        <v>14</v>
      </c>
      <c r="D34" s="2" t="s">
        <v>23</v>
      </c>
      <c r="E34" s="2" t="s">
        <v>27</v>
      </c>
      <c r="F34" s="2">
        <v>101</v>
      </c>
      <c r="G34" s="2" t="s">
        <v>1</v>
      </c>
      <c r="H34" s="2" t="s">
        <v>25</v>
      </c>
      <c r="I34" s="3">
        <v>15.32</v>
      </c>
      <c r="J34" s="23">
        <v>39.99</v>
      </c>
      <c r="K34" s="24">
        <f t="shared" si="2"/>
        <v>2.6103133159268932</v>
      </c>
      <c r="L34" s="8">
        <v>24</v>
      </c>
      <c r="M34" s="8">
        <v>24</v>
      </c>
      <c r="N34" s="8">
        <v>24</v>
      </c>
      <c r="O34" s="8">
        <v>24</v>
      </c>
      <c r="P34" s="8">
        <v>24</v>
      </c>
      <c r="Q34" s="8">
        <v>24</v>
      </c>
      <c r="R34" s="8">
        <v>24</v>
      </c>
      <c r="S34" s="8">
        <v>24</v>
      </c>
      <c r="T34" s="8">
        <v>12</v>
      </c>
      <c r="U34" s="8">
        <v>24</v>
      </c>
      <c r="V34" s="8">
        <v>24</v>
      </c>
      <c r="W34" s="8">
        <v>24</v>
      </c>
      <c r="X34" s="8">
        <v>12</v>
      </c>
      <c r="Y34" s="8">
        <v>24</v>
      </c>
      <c r="Z34" s="8">
        <v>24</v>
      </c>
      <c r="AA34" s="8">
        <v>24</v>
      </c>
      <c r="AB34" s="8">
        <v>12</v>
      </c>
      <c r="AC34" s="8">
        <v>12</v>
      </c>
      <c r="AD34" s="8">
        <v>24</v>
      </c>
      <c r="AE34" s="8">
        <v>12</v>
      </c>
      <c r="AF34" s="8">
        <f t="shared" si="3"/>
        <v>420</v>
      </c>
    </row>
    <row r="35" spans="1:32" s="5" customFormat="1" ht="72" customHeight="1" x14ac:dyDescent="0.3">
      <c r="A35" s="10"/>
      <c r="B35" s="2"/>
      <c r="C35" s="2" t="s">
        <v>14</v>
      </c>
      <c r="D35" s="2" t="s">
        <v>24</v>
      </c>
      <c r="E35" s="2" t="s">
        <v>27</v>
      </c>
      <c r="F35" s="2">
        <v>102</v>
      </c>
      <c r="G35" s="2" t="s">
        <v>1</v>
      </c>
      <c r="H35" s="2" t="s">
        <v>26</v>
      </c>
      <c r="I35" s="3">
        <v>15.32</v>
      </c>
      <c r="J35" s="23">
        <v>39.99</v>
      </c>
      <c r="K35" s="24">
        <f t="shared" si="2"/>
        <v>2.6103133159268932</v>
      </c>
      <c r="L35" s="8">
        <v>24</v>
      </c>
      <c r="M35" s="8">
        <v>24</v>
      </c>
      <c r="N35" s="8">
        <v>24</v>
      </c>
      <c r="O35" s="8">
        <v>24</v>
      </c>
      <c r="P35" s="8">
        <v>24</v>
      </c>
      <c r="Q35" s="8">
        <v>24</v>
      </c>
      <c r="R35" s="8">
        <v>24</v>
      </c>
      <c r="S35" s="8">
        <v>24</v>
      </c>
      <c r="T35" s="8">
        <v>12</v>
      </c>
      <c r="U35" s="8">
        <v>24</v>
      </c>
      <c r="V35" s="8">
        <v>24</v>
      </c>
      <c r="W35" s="8">
        <v>24</v>
      </c>
      <c r="X35" s="8">
        <v>12</v>
      </c>
      <c r="Y35" s="8">
        <v>24</v>
      </c>
      <c r="Z35" s="8">
        <v>24</v>
      </c>
      <c r="AA35" s="8">
        <v>24</v>
      </c>
      <c r="AB35" s="8">
        <v>12</v>
      </c>
      <c r="AC35" s="8">
        <v>12</v>
      </c>
      <c r="AD35" s="8">
        <v>24</v>
      </c>
      <c r="AE35" s="8">
        <v>12</v>
      </c>
      <c r="AF35" s="8">
        <f t="shared" si="3"/>
        <v>420</v>
      </c>
    </row>
    <row r="36" spans="1:32" s="5" customFormat="1" ht="72" customHeight="1" x14ac:dyDescent="0.3">
      <c r="A36" s="10"/>
      <c r="B36" s="2"/>
      <c r="C36" s="2" t="s">
        <v>14</v>
      </c>
      <c r="D36" s="2" t="s">
        <v>23</v>
      </c>
      <c r="E36" s="2" t="s">
        <v>27</v>
      </c>
      <c r="F36" s="2">
        <v>101</v>
      </c>
      <c r="G36" s="2" t="s">
        <v>1</v>
      </c>
      <c r="H36" s="2" t="s">
        <v>26</v>
      </c>
      <c r="I36" s="3">
        <v>15.32</v>
      </c>
      <c r="J36" s="23">
        <v>39.99</v>
      </c>
      <c r="K36" s="24">
        <f t="shared" si="2"/>
        <v>2.6103133159268932</v>
      </c>
      <c r="L36" s="8">
        <v>24</v>
      </c>
      <c r="M36" s="8">
        <v>24</v>
      </c>
      <c r="N36" s="8">
        <v>24</v>
      </c>
      <c r="O36" s="8">
        <v>24</v>
      </c>
      <c r="P36" s="8">
        <v>24</v>
      </c>
      <c r="Q36" s="8">
        <v>24</v>
      </c>
      <c r="R36" s="8">
        <v>24</v>
      </c>
      <c r="S36" s="8">
        <v>24</v>
      </c>
      <c r="T36" s="8">
        <v>12</v>
      </c>
      <c r="U36" s="8">
        <v>24</v>
      </c>
      <c r="V36" s="8">
        <v>24</v>
      </c>
      <c r="W36" s="8">
        <v>24</v>
      </c>
      <c r="X36" s="8">
        <v>12</v>
      </c>
      <c r="Y36" s="8">
        <v>24</v>
      </c>
      <c r="Z36" s="8">
        <v>24</v>
      </c>
      <c r="AA36" s="8">
        <v>24</v>
      </c>
      <c r="AB36" s="8">
        <v>12</v>
      </c>
      <c r="AC36" s="8">
        <v>12</v>
      </c>
      <c r="AD36" s="8">
        <v>24</v>
      </c>
      <c r="AE36" s="8">
        <v>12</v>
      </c>
      <c r="AF36" s="8">
        <f t="shared" si="3"/>
        <v>420</v>
      </c>
    </row>
    <row r="37" spans="1:32" s="5" customFormat="1" ht="6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M37" s="25"/>
      <c r="N37" s="26"/>
      <c r="O37" s="25"/>
      <c r="P37" s="26"/>
      <c r="Q37" s="25"/>
      <c r="R37" s="26"/>
      <c r="S37" s="25"/>
      <c r="T37" s="26"/>
      <c r="U37" s="25"/>
      <c r="Z37" s="9"/>
      <c r="AA37" s="10"/>
      <c r="AB37" s="10"/>
      <c r="AC37" s="10"/>
      <c r="AD37" s="10"/>
      <c r="AE37" s="10"/>
      <c r="AF37" s="10"/>
    </row>
    <row r="38" spans="1:32" ht="15.9" customHeight="1" x14ac:dyDescent="0.3">
      <c r="M38" s="12"/>
      <c r="N38" s="18"/>
      <c r="O38" s="12"/>
      <c r="P38" s="18"/>
      <c r="Q38" s="12"/>
      <c r="R38" s="18"/>
      <c r="S38" s="12"/>
      <c r="T38" s="18"/>
      <c r="U38" s="12"/>
      <c r="W38" s="6"/>
      <c r="Y38" s="6"/>
      <c r="Z38" s="7"/>
      <c r="AA38" s="1"/>
      <c r="AB38" s="1"/>
      <c r="AD38" s="1"/>
    </row>
  </sheetData>
  <conditionalFormatting sqref="B7:F36">
    <cfRule type="containsText" dxfId="17" priority="134" operator="containsText" text="Pendente">
      <formula>NOT(ISERROR(SEARCH("Pendente",B7)))</formula>
    </cfRule>
    <cfRule type="containsText" dxfId="16" priority="135" operator="containsText" text="Enviado">
      <formula>NOT(ISERROR(SEARCH("Enviado",B7)))</formula>
    </cfRule>
    <cfRule type="containsText" dxfId="15" priority="136" operator="containsText" text="Não">
      <formula>NOT(ISERROR(SEARCH("Não",B7)))</formula>
    </cfRule>
    <cfRule type="containsText" dxfId="14" priority="137" operator="containsText" text="Sim">
      <formula>NOT(ISERROR(SEARCH("Sim",B7)))</formula>
    </cfRule>
  </conditionalFormatting>
  <conditionalFormatting sqref="G7:K36">
    <cfRule type="containsText" dxfId="13" priority="133" operator="containsText" text="Pendente">
      <formula>NOT(ISERROR(SEARCH("Pendente",G7)))</formula>
    </cfRule>
  </conditionalFormatting>
  <conditionalFormatting sqref="H7:H36">
    <cfRule type="containsText" dxfId="12" priority="115" operator="containsText" text="100% toalha">
      <formula>NOT(ISERROR(SEARCH("100% toalha",H7)))</formula>
    </cfRule>
    <cfRule type="containsText" dxfId="11" priority="116" operator="containsText" text="Viscose">
      <formula>NOT(ISERROR(SEARCH("Viscose",H7)))</formula>
    </cfRule>
    <cfRule type="containsText" dxfId="10" priority="117" operator="containsText" text="Sem toalha">
      <formula>NOT(ISERROR(SEARCH("Sem toalha",H7)))</formula>
    </cfRule>
    <cfRule type="containsText" dxfId="9" priority="118" operator="containsText" text="Meia toalha">
      <formula>NOT(ISERROR(SEARCH("Meia toalha",H7)))</formula>
    </cfRule>
    <cfRule type="cellIs" dxfId="8" priority="119" operator="equal">
      <formula>"Boxer"</formula>
    </cfRule>
  </conditionalFormatting>
  <conditionalFormatting sqref="L7:AF36">
    <cfRule type="containsText" dxfId="7" priority="4" operator="containsText" text="Pendente">
      <formula>NOT(ISERROR(SEARCH("Pendente",L7)))</formula>
    </cfRule>
  </conditionalFormatting>
  <conditionalFormatting sqref="V7:Y7">
    <cfRule type="containsText" dxfId="6" priority="41" operator="containsText" text="Pendente">
      <formula>NOT(ISERROR(SEARCH("Pendente",V7)))</formula>
    </cfRule>
  </conditionalFormatting>
  <conditionalFormatting sqref="V9:Y10">
    <cfRule type="containsText" dxfId="5" priority="13" operator="containsText" text="Pendente">
      <formula>NOT(ISERROR(SEARCH("Pendente",V9)))</formula>
    </cfRule>
  </conditionalFormatting>
  <conditionalFormatting sqref="V12:Y12">
    <cfRule type="containsText" dxfId="4" priority="12" operator="containsText" text="Pendente">
      <formula>NOT(ISERROR(SEARCH("Pendente",V12)))</formula>
    </cfRule>
  </conditionalFormatting>
  <conditionalFormatting sqref="V23:Y23">
    <cfRule type="containsText" dxfId="3" priority="11" operator="containsText" text="Pendente">
      <formula>NOT(ISERROR(SEARCH("Pendente",V23)))</formula>
    </cfRule>
  </conditionalFormatting>
  <conditionalFormatting sqref="V25:Y25">
    <cfRule type="containsText" dxfId="2" priority="10" operator="containsText" text="Pendente">
      <formula>NOT(ISERROR(SEARCH("Pendente",V25)))</formula>
    </cfRule>
  </conditionalFormatting>
  <conditionalFormatting sqref="V28:Y28">
    <cfRule type="containsText" dxfId="1" priority="9" operator="containsText" text="Pendente">
      <formula>NOT(ISERROR(SEARCH("Pendente",V28)))</formula>
    </cfRule>
  </conditionalFormatting>
  <conditionalFormatting sqref="V30:Y30">
    <cfRule type="containsText" dxfId="0" priority="8" operator="containsText" text="Pendente">
      <formula>NOT(ISERROR(SEARCH("Pendente",V30)))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Adulto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Fontana</dc:creator>
  <cp:lastModifiedBy>Viviana Saheki</cp:lastModifiedBy>
  <dcterms:created xsi:type="dcterms:W3CDTF">2025-01-14T12:30:36Z</dcterms:created>
  <dcterms:modified xsi:type="dcterms:W3CDTF">2025-12-02T12:50:29Z</dcterms:modified>
</cp:coreProperties>
</file>