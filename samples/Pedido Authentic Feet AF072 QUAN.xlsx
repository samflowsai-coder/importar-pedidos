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P:\COMERCIAL\CLIENTES\GRUPO AFEET\PEDIDO DO CLIENTE\"/>
    </mc:Choice>
  </mc:AlternateContent>
  <xr:revisionPtr revIDLastSave="0" documentId="8_{980BA29A-7352-4F3A-93B2-010973D168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4" l="1"/>
  <c r="T14" i="4"/>
  <c r="T13" i="4"/>
  <c r="T12" i="4"/>
  <c r="T17" i="4" l="1"/>
</calcChain>
</file>

<file path=xl/sharedStrings.xml><?xml version="1.0" encoding="utf-8"?>
<sst xmlns="http://schemas.openxmlformats.org/spreadsheetml/2006/main" count="67" uniqueCount="54">
  <si>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</si>
  <si>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</si>
  <si>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</si>
  <si>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</si>
  <si>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</si>
  <si>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</si>
  <si>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</si>
  <si>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</si>
  <si>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</si>
  <si>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</si>
  <si>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</si>
  <si>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</si>
  <si>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</si>
  <si>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</si>
  <si>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</si>
  <si>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</si>
  <si>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</si>
  <si>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</si>
  <si>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</si>
  <si>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</si>
  <si>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</si>
  <si>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</si>
  <si>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</si>
  <si>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</si>
  <si>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DESCRIÇÃO COR</t>
  </si>
  <si>
    <t>DESCRIÇÃO PRODUTO</t>
  </si>
  <si>
    <t>TAMANHOS</t>
  </si>
  <si>
    <t>39 - 44</t>
  </si>
  <si>
    <t>OBS</t>
  </si>
  <si>
    <t>100</t>
  </si>
  <si>
    <t>33 - 38</t>
  </si>
  <si>
    <t>KIT 3</t>
  </si>
  <si>
    <t>KIT 3 PARES - SAPATILHA</t>
  </si>
  <si>
    <t>BRANCO</t>
  </si>
  <si>
    <t>PRETO</t>
  </si>
  <si>
    <t>OBS:</t>
  </si>
  <si>
    <t>AFK3S-A-100-3338</t>
  </si>
  <si>
    <t>AFK3S-A-001-3338</t>
  </si>
  <si>
    <t>AFK3S-A-100-3944</t>
  </si>
  <si>
    <t>AFK3S-A-001-3944</t>
  </si>
  <si>
    <t>60D</t>
  </si>
  <si>
    <t>NOVEMBRO</t>
  </si>
  <si>
    <t>(14) 99867-9617</t>
  </si>
  <si>
    <t>VITORIA</t>
  </si>
  <si>
    <t>SP</t>
  </si>
  <si>
    <t>AF072</t>
  </si>
  <si>
    <t>QUAN.</t>
  </si>
  <si>
    <t>QUINTO &amp; QUINTO ARTIGOS ESPORTIVOS LTDA - EPP</t>
  </si>
  <si>
    <t>10.926.417/0001-33</t>
  </si>
  <si>
    <t>Rua Henrique Savi, 15-55 Loja 71</t>
  </si>
  <si>
    <t>Vila Nova Cidade Univ.</t>
  </si>
  <si>
    <t>af072@authenticfeet.com.br</t>
  </si>
  <si>
    <t>BAURU</t>
  </si>
  <si>
    <t>17011-900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</si>
</sst>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14" xfId="0" applyFill="1" applyBorder="1" applyAlignment="1" applyProtection="1">
      <alignment horizontal="center" vertical="center" wrapText="1"/>
      <protection locked="0"/>
    </xf>
    <xf numFmtId="4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7" fillId="0" borderId="17" xfId="0" applyNumberFormat="1" applyFont="1" applyBorder="1" applyAlignment="1">
      <alignment horizontal="center" vertical="center" wrapText="1"/>
    </xf>
    <xf numFmtId="49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0" fillId="3" borderId="14" xfId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65" fontId="0" fillId="3" borderId="14" xfId="0" applyNumberFormat="1" applyFill="1" applyBorder="1" applyAlignment="1" applyProtection="1">
      <alignment horizontal="center" vertical="center" wrapText="1"/>
      <protection locked="0"/>
    </xf>
    <xf numFmtId="165" fontId="0" fillId="3" borderId="14" xfId="1" applyNumberFormat="1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164" fontId="2" fillId="3" borderId="27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vertical="center" wrapText="1"/>
    </xf>
    <xf numFmtId="0" fontId="8" fillId="0" borderId="3" xfId="2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2" fillId="3" borderId="3" xfId="1" applyFont="1" applyFill="1" applyBorder="1" applyAlignment="1">
      <alignment horizontal="center" vertical="center" wrapText="1"/>
    </xf>
    <xf numFmtId="164" fontId="2" fillId="3" borderId="9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2" borderId="3" xfId="1" applyFont="1" applyFill="1" applyBorder="1" applyAlignment="1">
      <alignment horizontal="center" vertical="center" wrapText="1"/>
    </xf>
    <xf numFmtId="164" fontId="4" fillId="2" borderId="9" xfId="1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64" fontId="7" fillId="0" borderId="18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26" xfId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8" fillId="0" borderId="3" xfId="2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10" fillId="0" borderId="11" xfId="0" applyNumberFormat="1" applyFont="1" applyBorder="1" applyAlignment="1">
      <alignment horizontal="center" wrapText="1"/>
    </xf>
    <xf numFmtId="49" fontId="10" fillId="0" borderId="12" xfId="0" applyNumberFormat="1" applyFont="1" applyBorder="1" applyAlignment="1">
      <alignment horizontal="center" wrapText="1"/>
    </xf>
    <xf numFmtId="49" fontId="10" fillId="0" borderId="13" xfId="0" applyNumberFormat="1" applyFont="1" applyBorder="1" applyAlignment="1">
      <alignment horizont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78"/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28663</xdr:colOff>
      <xdr:row>11</xdr:row>
      <xdr:rowOff>149491</xdr:rowOff>
    </xdr:from>
    <xdr:to>
      <xdr:col>1</xdr:col>
      <xdr:colOff>1022173</xdr:colOff>
      <xdr:row>11</xdr:row>
      <xdr:rowOff>666751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AB4829-A11A-456A-A0AA-91264A5D1FC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1069" y="3411804"/>
          <a:ext cx="993510" cy="517260"/>
        </a:xfrm>
        <a:prstGeom prst="rect">
          <a:avLst/>
        </a:prstGeom>
      </xdr:spPr>
    </xdr:pic>
    <xdr:clientData/>
  </xdr:twoCellAnchor>
  <xdr:twoCellAnchor editAs="oneCell">
    <xdr:from>
      <xdr:col>1</xdr:col>
      <xdr:colOff>126119</xdr:colOff>
      <xdr:row>12</xdr:row>
      <xdr:rowOff>245323</xdr:rowOff>
    </xdr:from>
    <xdr:to>
      <xdr:col>1</xdr:col>
      <xdr:colOff>976313</xdr:colOff>
      <xdr:row>12</xdr:row>
      <xdr:rowOff>976312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737CC3-832B-4D47-92CA-56A94FF9DC5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28525" y="4257729"/>
          <a:ext cx="850194" cy="730989"/>
        </a:xfrm>
        <a:prstGeom prst="rect">
          <a:avLst/>
        </a:prstGeom>
      </xdr:spPr>
    </xdr:pic>
    <xdr:clientData/>
  </xdr:twoCellAnchor>
  <xdr:twoCellAnchor editAs="oneCell">
    <xdr:from>
      <xdr:col>1</xdr:col>
      <xdr:colOff>107597</xdr:colOff>
      <xdr:row>13</xdr:row>
      <xdr:rowOff>202407</xdr:rowOff>
    </xdr:from>
    <xdr:to>
      <xdr:col>1</xdr:col>
      <xdr:colOff>1000125</xdr:colOff>
      <xdr:row>13</xdr:row>
      <xdr:rowOff>1213821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D67A5D9-5EFE-4748-B8CD-E160C383465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10003" y="5310188"/>
          <a:ext cx="892528" cy="101141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14</xdr:row>
      <xdr:rowOff>152278</xdr:rowOff>
    </xdr:from>
    <xdr:to>
      <xdr:col>1</xdr:col>
      <xdr:colOff>952501</xdr:colOff>
      <xdr:row>14</xdr:row>
      <xdr:rowOff>1100658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F27ED11-8840-41BA-B265-4B1F941E890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97657" y="6664997"/>
          <a:ext cx="857250" cy="948380"/>
        </a:xfrm>
        <a:prstGeom prst="rect">
          <a:avLst/>
        </a:prstGeom>
      </xdr:spPr>
    </xdr:pic>
    <xdr:clientData/>
  </xdr:twoCellAnchor>
  <xdr:twoCellAnchor editAs="oneCell">
    <xdr:from>
      <xdr:col>5</xdr:col>
      <xdr:colOff>321467</xdr:colOff>
      <xdr:row>0</xdr:row>
      <xdr:rowOff>192882</xdr:rowOff>
    </xdr:from>
    <xdr:to>
      <xdr:col>16</xdr:col>
      <xdr:colOff>819149</xdr:colOff>
      <xdr:row>0</xdr:row>
      <xdr:rowOff>768210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ED037CA-8E86-4C02-AAD9-EC95FB5DA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1061" y="192882"/>
          <a:ext cx="3688557" cy="575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f072@authenticfeet.com.br" TargetMode="External"/><Relationship Id="rId1" Type="http://schemas.openxmlformats.org/officeDocument/2006/relationships/hyperlink" Target="mailto:af072@authenticfeet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C2B6-7F32-4781-A028-0A3E15ACFA1B}">
  <dimension ref="A1:Y20"/>
  <sheetViews>
    <sheetView showGridLines="0" tabSelected="1" view="pageBreakPreview" topLeftCell="A13" zoomScale="60" zoomScaleNormal="80" workbookViewId="0">
      <selection activeCell="C3" sqref="C3:H3"/>
    </sheetView>
  </sheetViews>
  <sheetFormatPr defaultRowHeight="15" x14ac:dyDescent="0.25"/>
  <cols>
    <col min="1" max="1" width="3" style="6" customWidth="1"/>
    <col min="2" max="2" width="16.28515625" style="6" bestFit="1" customWidth="1"/>
    <col min="3" max="3" width="9.42578125" style="6" customWidth="1"/>
    <col min="4" max="4" width="11.42578125" style="7" customWidth="1"/>
    <col min="5" max="5" width="28.28515625" style="7" bestFit="1" customWidth="1"/>
    <col min="6" max="7" width="6.42578125" style="6" customWidth="1"/>
    <col min="8" max="8" width="2.42578125" style="6" customWidth="1"/>
    <col min="9" max="9" width="6.42578125" style="6" hidden="1" customWidth="1"/>
    <col min="10" max="10" width="3.42578125" style="6" customWidth="1"/>
    <col min="11" max="13" width="6.42578125" style="6" customWidth="1"/>
    <col min="14" max="14" width="2.85546875" style="6" customWidth="1"/>
    <col min="15" max="15" width="6.42578125" style="6" customWidth="1"/>
    <col min="16" max="16" width="0.5703125" style="6" customWidth="1"/>
    <col min="17" max="17" width="14.42578125" style="6" customWidth="1"/>
    <col min="18" max="18" width="16.5703125" style="6" bestFit="1" customWidth="1"/>
    <col min="19" max="19" width="15.140625" style="6" bestFit="1" customWidth="1"/>
    <col min="20" max="20" width="13.42578125" style="6" customWidth="1"/>
    <col min="21" max="21" width="3.42578125" style="6" customWidth="1"/>
    <col min="22" max="22" width="1.140625" style="6" customWidth="1"/>
    <col min="23" max="25" width="31.42578125" style="6" customWidth="1"/>
  </cols>
  <sheetData>
    <row r="1" spans="2:21" ht="68.25" customHeight="1" thickBot="1" x14ac:dyDescent="0.3"/>
    <row r="2" spans="2:21" ht="19.5" thickBot="1" x14ac:dyDescent="0.35"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4"/>
    </row>
    <row r="3" spans="2:21" x14ac:dyDescent="0.25">
      <c r="B3" s="24" t="s">
        <v>18</v>
      </c>
      <c r="C3" s="75" t="s">
        <v>47</v>
      </c>
      <c r="D3" s="76"/>
      <c r="E3" s="76"/>
      <c r="F3" s="76"/>
      <c r="G3" s="76"/>
      <c r="H3" s="77"/>
      <c r="I3" s="78" t="s">
        <v>7</v>
      </c>
      <c r="J3" s="79"/>
      <c r="K3" s="80" t="s">
        <v>45</v>
      </c>
      <c r="L3" s="80"/>
      <c r="M3" s="80"/>
      <c r="N3" s="80"/>
      <c r="O3" s="80"/>
      <c r="P3" s="80"/>
      <c r="Q3" s="80"/>
      <c r="R3" s="25" t="s">
        <v>2</v>
      </c>
      <c r="S3" s="25" t="s">
        <v>43</v>
      </c>
      <c r="T3" s="81"/>
      <c r="U3" s="82"/>
    </row>
    <row r="4" spans="2:21" x14ac:dyDescent="0.25">
      <c r="B4" s="19" t="s">
        <v>3</v>
      </c>
      <c r="C4" s="62" t="s">
        <v>48</v>
      </c>
      <c r="D4" s="62"/>
      <c r="E4" s="62"/>
      <c r="F4" s="63" t="s">
        <v>19</v>
      </c>
      <c r="G4" s="64"/>
      <c r="H4" s="64"/>
      <c r="I4" s="65">
        <v>209430287110</v>
      </c>
      <c r="J4" s="62"/>
      <c r="K4" s="62"/>
      <c r="L4" s="62"/>
      <c r="M4" s="62"/>
      <c r="N4" s="62"/>
      <c r="O4" s="62"/>
      <c r="P4" s="62"/>
      <c r="Q4" s="62"/>
      <c r="R4" s="20" t="s">
        <v>9</v>
      </c>
      <c r="S4" s="20" t="s">
        <v>42</v>
      </c>
      <c r="T4" s="22"/>
      <c r="U4" s="23"/>
    </row>
    <row r="5" spans="2:21" ht="30" x14ac:dyDescent="0.25">
      <c r="B5" s="19" t="s">
        <v>4</v>
      </c>
      <c r="C5" s="48" t="s">
        <v>49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50"/>
      <c r="R5" s="20" t="s">
        <v>14</v>
      </c>
      <c r="S5" s="30" t="s">
        <v>51</v>
      </c>
      <c r="T5" s="49"/>
      <c r="U5" s="51"/>
    </row>
    <row r="6" spans="2:21" x14ac:dyDescent="0.25">
      <c r="B6" s="19" t="s">
        <v>5</v>
      </c>
      <c r="C6" s="48" t="s">
        <v>52</v>
      </c>
      <c r="D6" s="49"/>
      <c r="E6" s="49"/>
      <c r="F6" s="20" t="s">
        <v>6</v>
      </c>
      <c r="G6" s="62" t="s">
        <v>44</v>
      </c>
      <c r="H6" s="62"/>
      <c r="I6" s="63" t="s">
        <v>12</v>
      </c>
      <c r="J6" s="64"/>
      <c r="K6" s="48" t="s">
        <v>50</v>
      </c>
      <c r="L6" s="49"/>
      <c r="M6" s="50"/>
      <c r="N6" s="21" t="s">
        <v>10</v>
      </c>
      <c r="O6" s="48" t="s">
        <v>53</v>
      </c>
      <c r="P6" s="49"/>
      <c r="Q6" s="49"/>
      <c r="R6" s="49"/>
      <c r="S6" s="49"/>
      <c r="T6" s="49"/>
      <c r="U6" s="51"/>
    </row>
    <row r="7" spans="2:21" x14ac:dyDescent="0.25">
      <c r="B7" s="19" t="s">
        <v>11</v>
      </c>
      <c r="C7" s="21"/>
      <c r="D7" s="67" t="s">
        <v>51</v>
      </c>
      <c r="E7" s="49"/>
      <c r="F7" s="49"/>
      <c r="G7" s="49"/>
      <c r="H7" s="50"/>
      <c r="I7" s="63" t="s">
        <v>1</v>
      </c>
      <c r="J7" s="64"/>
      <c r="K7" s="64"/>
      <c r="L7" s="62"/>
      <c r="M7" s="62"/>
      <c r="N7" s="62"/>
      <c r="O7" s="62"/>
      <c r="P7" s="62"/>
      <c r="Q7" s="62"/>
      <c r="R7" s="62"/>
      <c r="S7" s="62"/>
      <c r="T7" s="62"/>
      <c r="U7" s="68"/>
    </row>
    <row r="8" spans="2:21" ht="25.5" customHeight="1" x14ac:dyDescent="0.25">
      <c r="B8" s="69" t="s">
        <v>13</v>
      </c>
      <c r="C8" s="70"/>
      <c r="D8" s="48" t="s">
        <v>41</v>
      </c>
      <c r="E8" s="49"/>
      <c r="F8" s="63" t="s">
        <v>20</v>
      </c>
      <c r="G8" s="64"/>
      <c r="H8" s="64"/>
      <c r="I8" s="71" t="s">
        <v>40</v>
      </c>
      <c r="J8" s="71"/>
      <c r="K8" s="71"/>
      <c r="L8" s="71"/>
      <c r="M8" s="71"/>
      <c r="N8" s="71"/>
      <c r="O8" s="71"/>
      <c r="P8" s="71"/>
      <c r="Q8" s="71"/>
      <c r="R8" s="20" t="s">
        <v>8</v>
      </c>
      <c r="S8" s="66">
        <v>46297</v>
      </c>
      <c r="T8" s="64"/>
      <c r="U8" s="29"/>
    </row>
    <row r="9" spans="2:21" ht="16.5" thickBot="1" x14ac:dyDescent="0.3">
      <c r="B9" s="18" t="s">
        <v>35</v>
      </c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</row>
    <row r="10" spans="2:21" ht="15.75" thickBot="1" x14ac:dyDescent="0.3">
      <c r="B10" s="8" t="s">
        <v>15</v>
      </c>
      <c r="C10" s="9" t="s">
        <v>16</v>
      </c>
      <c r="D10" s="3" t="s">
        <v>17</v>
      </c>
      <c r="E10" s="3" t="s">
        <v>25</v>
      </c>
      <c r="F10" s="55" t="s">
        <v>24</v>
      </c>
      <c r="G10" s="56"/>
      <c r="H10" s="56"/>
      <c r="I10" s="57"/>
      <c r="J10" s="58" t="s">
        <v>26</v>
      </c>
      <c r="K10" s="59"/>
      <c r="L10" s="60"/>
      <c r="M10" s="55" t="s">
        <v>28</v>
      </c>
      <c r="N10" s="56"/>
      <c r="O10" s="56"/>
      <c r="P10" s="57"/>
      <c r="Q10" s="9" t="s">
        <v>0</v>
      </c>
      <c r="R10" s="9" t="s">
        <v>21</v>
      </c>
      <c r="S10" s="26" t="s">
        <v>46</v>
      </c>
      <c r="T10" s="55" t="s">
        <v>22</v>
      </c>
      <c r="U10" s="61"/>
    </row>
    <row r="11" spans="2:21" x14ac:dyDescent="0.25">
      <c r="B11" s="10"/>
      <c r="C11" s="1"/>
      <c r="D11" s="4"/>
      <c r="E11" s="4"/>
      <c r="F11" s="34"/>
      <c r="G11" s="35"/>
      <c r="H11" s="35"/>
      <c r="I11" s="36"/>
      <c r="J11" s="34"/>
      <c r="K11" s="35"/>
      <c r="L11" s="36"/>
      <c r="M11" s="34"/>
      <c r="N11" s="35"/>
      <c r="O11" s="35"/>
      <c r="P11" s="36"/>
      <c r="Q11" s="14"/>
      <c r="R11" s="2"/>
      <c r="S11" s="2"/>
      <c r="T11" s="37"/>
      <c r="U11" s="38"/>
    </row>
    <row r="12" spans="2:21" ht="59.25" customHeight="1" x14ac:dyDescent="0.25">
      <c r="B12" s="10"/>
      <c r="C12" s="1" t="s">
        <v>36</v>
      </c>
      <c r="D12" s="4" t="s">
        <v>29</v>
      </c>
      <c r="E12" s="4" t="s">
        <v>32</v>
      </c>
      <c r="F12" s="34" t="s">
        <v>33</v>
      </c>
      <c r="G12" s="35"/>
      <c r="H12" s="35"/>
      <c r="I12" s="36"/>
      <c r="J12" s="45" t="s">
        <v>30</v>
      </c>
      <c r="K12" s="46"/>
      <c r="L12" s="47"/>
      <c r="M12" s="45" t="s">
        <v>31</v>
      </c>
      <c r="N12" s="46"/>
      <c r="O12" s="46"/>
      <c r="P12" s="47"/>
      <c r="Q12" s="14">
        <v>11.96</v>
      </c>
      <c r="R12" s="17">
        <v>29.99</v>
      </c>
      <c r="S12" s="15">
        <v>50</v>
      </c>
      <c r="T12" s="27">
        <f>S12*Q12</f>
        <v>598</v>
      </c>
      <c r="U12" s="28"/>
    </row>
    <row r="13" spans="2:21" ht="86.25" customHeight="1" x14ac:dyDescent="0.25">
      <c r="B13" s="10"/>
      <c r="C13" s="1" t="s">
        <v>37</v>
      </c>
      <c r="D13" s="5" t="s">
        <v>23</v>
      </c>
      <c r="E13" s="4" t="s">
        <v>32</v>
      </c>
      <c r="F13" s="34" t="s">
        <v>34</v>
      </c>
      <c r="G13" s="35"/>
      <c r="H13" s="35"/>
      <c r="I13" s="36"/>
      <c r="J13" s="45" t="s">
        <v>30</v>
      </c>
      <c r="K13" s="46"/>
      <c r="L13" s="47"/>
      <c r="M13" s="34" t="s">
        <v>31</v>
      </c>
      <c r="N13" s="35"/>
      <c r="O13" s="35"/>
      <c r="P13" s="36"/>
      <c r="Q13" s="14">
        <v>11.96</v>
      </c>
      <c r="R13" s="17">
        <v>29.99</v>
      </c>
      <c r="S13" s="15">
        <v>40</v>
      </c>
      <c r="T13" s="27">
        <f t="shared" ref="T13:T15" si="0">S13*Q13</f>
        <v>478.40000000000003</v>
      </c>
      <c r="U13" s="28"/>
    </row>
    <row r="14" spans="2:21" ht="111" customHeight="1" x14ac:dyDescent="0.25">
      <c r="B14" s="10"/>
      <c r="C14" s="1" t="s">
        <v>38</v>
      </c>
      <c r="D14" s="4" t="s">
        <v>29</v>
      </c>
      <c r="E14" s="4" t="s">
        <v>32</v>
      </c>
      <c r="F14" s="34" t="s">
        <v>33</v>
      </c>
      <c r="G14" s="35"/>
      <c r="H14" s="35"/>
      <c r="I14" s="36"/>
      <c r="J14" s="45" t="s">
        <v>27</v>
      </c>
      <c r="K14" s="46"/>
      <c r="L14" s="47"/>
      <c r="M14" s="34" t="s">
        <v>31</v>
      </c>
      <c r="N14" s="35"/>
      <c r="O14" s="35"/>
      <c r="P14" s="36"/>
      <c r="Q14" s="14">
        <v>11.96</v>
      </c>
      <c r="R14" s="17">
        <v>29.99</v>
      </c>
      <c r="S14" s="15">
        <v>40</v>
      </c>
      <c r="T14" s="27">
        <f t="shared" si="0"/>
        <v>478.40000000000003</v>
      </c>
      <c r="U14" s="28"/>
    </row>
    <row r="15" spans="2:21" ht="94.5" customHeight="1" x14ac:dyDescent="0.25">
      <c r="B15" s="10"/>
      <c r="C15" s="1" t="s">
        <v>39</v>
      </c>
      <c r="D15" s="5" t="s">
        <v>23</v>
      </c>
      <c r="E15" s="4" t="s">
        <v>32</v>
      </c>
      <c r="F15" s="34" t="s">
        <v>34</v>
      </c>
      <c r="G15" s="35"/>
      <c r="H15" s="35"/>
      <c r="I15" s="36"/>
      <c r="J15" s="45" t="s">
        <v>27</v>
      </c>
      <c r="K15" s="46"/>
      <c r="L15" s="47"/>
      <c r="M15" s="34" t="s">
        <v>31</v>
      </c>
      <c r="N15" s="35"/>
      <c r="O15" s="35"/>
      <c r="P15" s="36"/>
      <c r="Q15" s="14">
        <v>11.96</v>
      </c>
      <c r="R15" s="17">
        <v>29.99</v>
      </c>
      <c r="S15" s="15">
        <v>40</v>
      </c>
      <c r="T15" s="27">
        <f t="shared" si="0"/>
        <v>478.40000000000003</v>
      </c>
      <c r="U15" s="28"/>
    </row>
    <row r="16" spans="2:21" x14ac:dyDescent="0.25">
      <c r="B16" s="10"/>
      <c r="C16" s="1"/>
      <c r="D16" s="4"/>
      <c r="E16" s="4"/>
      <c r="F16" s="34"/>
      <c r="G16" s="35"/>
      <c r="H16" s="35"/>
      <c r="I16" s="36"/>
      <c r="J16" s="34"/>
      <c r="K16" s="35"/>
      <c r="L16" s="36"/>
      <c r="M16" s="34"/>
      <c r="N16" s="35"/>
      <c r="O16" s="35"/>
      <c r="P16" s="36"/>
      <c r="Q16" s="14"/>
      <c r="R16" s="16"/>
      <c r="S16" s="16"/>
      <c r="T16" s="37"/>
      <c r="U16" s="38"/>
    </row>
    <row r="17" spans="2:21" x14ac:dyDescent="0.25">
      <c r="B17" s="39"/>
      <c r="C17" s="40"/>
      <c r="D17" s="41"/>
      <c r="E17" s="11"/>
      <c r="F17" s="42"/>
      <c r="G17" s="40"/>
      <c r="H17" s="40"/>
      <c r="I17" s="41"/>
      <c r="J17" s="42"/>
      <c r="K17" s="40"/>
      <c r="L17" s="41"/>
      <c r="M17" s="42"/>
      <c r="N17" s="40"/>
      <c r="O17" s="40"/>
      <c r="P17" s="41"/>
      <c r="Q17" s="12"/>
      <c r="R17" s="12"/>
      <c r="S17" s="12"/>
      <c r="T17" s="43">
        <f>SUM(T12:U16)</f>
        <v>2033.2000000000003</v>
      </c>
      <c r="U17" s="44"/>
    </row>
    <row r="18" spans="2:21" ht="15.75" thickBot="1" x14ac:dyDescent="0.3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</row>
    <row r="20" spans="2:21" x14ac:dyDescent="0.25">
      <c r="T20" s="13"/>
    </row>
  </sheetData>
  <mergeCells count="54">
    <mergeCell ref="B2:U2"/>
    <mergeCell ref="C3:H3"/>
    <mergeCell ref="I3:J3"/>
    <mergeCell ref="K3:Q3"/>
    <mergeCell ref="T3:U3"/>
    <mergeCell ref="C4:E4"/>
    <mergeCell ref="F4:H4"/>
    <mergeCell ref="I4:Q4"/>
    <mergeCell ref="S8:T8"/>
    <mergeCell ref="D7:H7"/>
    <mergeCell ref="I7:K7"/>
    <mergeCell ref="L7:U7"/>
    <mergeCell ref="B8:C8"/>
    <mergeCell ref="D8:E8"/>
    <mergeCell ref="F8:H8"/>
    <mergeCell ref="I8:Q8"/>
    <mergeCell ref="C5:Q5"/>
    <mergeCell ref="T5:U5"/>
    <mergeCell ref="C6:E6"/>
    <mergeCell ref="G6:H6"/>
    <mergeCell ref="I6:J6"/>
    <mergeCell ref="K6:M6"/>
    <mergeCell ref="O6:U6"/>
    <mergeCell ref="C9:U9"/>
    <mergeCell ref="F10:I10"/>
    <mergeCell ref="J10:L10"/>
    <mergeCell ref="M10:P10"/>
    <mergeCell ref="T10:U10"/>
    <mergeCell ref="F11:I11"/>
    <mergeCell ref="J11:L11"/>
    <mergeCell ref="M11:P11"/>
    <mergeCell ref="T11:U11"/>
    <mergeCell ref="F13:I13"/>
    <mergeCell ref="J13:L13"/>
    <mergeCell ref="M13:P13"/>
    <mergeCell ref="F12:I12"/>
    <mergeCell ref="J12:L12"/>
    <mergeCell ref="M12:P12"/>
    <mergeCell ref="F15:I15"/>
    <mergeCell ref="J15:L15"/>
    <mergeCell ref="M15:P15"/>
    <mergeCell ref="F14:I14"/>
    <mergeCell ref="J14:L14"/>
    <mergeCell ref="M14:P14"/>
    <mergeCell ref="B18:U18"/>
    <mergeCell ref="F16:I16"/>
    <mergeCell ref="J16:L16"/>
    <mergeCell ref="M16:P16"/>
    <mergeCell ref="T16:U16"/>
    <mergeCell ref="B17:D17"/>
    <mergeCell ref="F17:I17"/>
    <mergeCell ref="J17:L17"/>
    <mergeCell ref="M17:P17"/>
    <mergeCell ref="T17:U17"/>
  </mergeCells>
  <hyperlinks>
    <hyperlink ref="S5" r:id="rId1" xr:uid="{7B15C361-D3D9-4DC8-93DE-6A92A875B82A}"/>
    <hyperlink ref="D7" r:id="rId2" xr:uid="{BEBA01AE-5604-42BF-BEEA-B66466962667}"/>
  </hyperlinks>
  <pageMargins left="0.511811024" right="0.511811024" top="0.78740157499999996" bottom="0.78740157499999996" header="0.31496062000000002" footer="0.31496062000000002"/>
  <pageSetup paperSize="9" scale="75" orientation="landscape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Bianca Beraldi</cp:lastModifiedBy>
  <cp:lastPrinted>2026-10-02T16:34:12Z</cp:lastPrinted>
  <dcterms:created xsi:type="dcterms:W3CDTF">2010-08-02T13:51:18Z</dcterms:created>
  <dcterms:modified xsi:type="dcterms:W3CDTF">2026-10-02T16:34:32Z</dcterms:modified>
</cp:coreProperties>
</file>