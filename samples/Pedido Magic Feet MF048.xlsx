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PEDIDOSFIRE\PEDIDOSNASMAR\PEDIDOCLIENTE\"/>
    </mc:Choice>
  </mc:AlternateContent>
  <xr:revisionPtr revIDLastSave="0" documentId="8_{F86A3AF3-CDA0-4FDB-9089-A251F3267A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3" r:id="rId1"/>
  </sheets>
  <definedNames>
    <definedName name="_xlnm._FilterDatabase" localSheetId="0" hidden="1">'1'!$B$10:$U$30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3" l="1"/>
  <c r="T28" i="3"/>
  <c r="T24" i="3"/>
  <c r="T20" i="3"/>
  <c r="T14" i="3"/>
  <c r="T18" i="3"/>
  <c r="T16" i="3"/>
  <c r="T22" i="3"/>
  <c r="S30" i="3" l="1"/>
  <c r="T12" i="3"/>
  <c r="T30" i="3" l="1"/>
</calcChain>
</file>

<file path=xl/sharedStrings.xml><?xml version="1.0" encoding="utf-8"?>
<sst xmlns="http://schemas.openxmlformats.org/spreadsheetml/2006/main" count="90" uniqueCount="61">
  <si>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</si>
  <si>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</si>
  <si>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</si>
  <si>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</si>
  <si>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</si>
  <si>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</si>
  <si>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</si>
  <si>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</si>
  <si>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</si>
  <si>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</si>
  <si>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</si>
  <si>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</si>
  <si>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</si>
  <si>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</si>
  <si>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</si>
  <si>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</si>
  <si>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</si>
  <si>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</si>
  <si>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</si>
  <si>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</si>
  <si>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</si>
  <si>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</si>
  <si>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</si>
  <si>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DESCRIÇÃO COR</t>
  </si>
  <si>
    <t>DESCRIÇÃO PRODUTO</t>
  </si>
  <si>
    <t>TAMANHOS</t>
  </si>
  <si>
    <t>OBS</t>
  </si>
  <si>
    <t>KIT 3</t>
  </si>
  <si>
    <t>KIT 3 PARES - CANO MEDIO</t>
  </si>
  <si>
    <t>KIT 3 PARES - CANO LONGO</t>
  </si>
  <si>
    <t>BRANCO</t>
  </si>
  <si>
    <t>60 Dias</t>
  </si>
  <si>
    <t>OBS:</t>
  </si>
  <si>
    <t>TOTAL KITS</t>
  </si>
  <si>
    <t>19 - 22</t>
  </si>
  <si>
    <t>23 - 27</t>
  </si>
  <si>
    <t>28 - 33</t>
  </si>
  <si>
    <t>KIT 3 PARES - CANO BAIXO</t>
  </si>
  <si>
    <t>MFK3C-B-100-1922</t>
  </si>
  <si>
    <t>MFK3C-B-100-2327</t>
  </si>
  <si>
    <t>MFK3C-B-100-2833</t>
  </si>
  <si>
    <t>MFK3C-M-100-1922</t>
  </si>
  <si>
    <t>MFK3C-M-100-2327</t>
  </si>
  <si>
    <t>MFK3C-M-100-2833</t>
  </si>
  <si>
    <t>MFK3C-L-100-1922</t>
  </si>
  <si>
    <t>MFK3C-L-100-2327</t>
  </si>
  <si>
    <t>MFK3C-L-100-2833</t>
  </si>
  <si>
    <t>92 98151-1128</t>
  </si>
  <si>
    <t>IMEDIATO</t>
  </si>
  <si>
    <t>mf048@magicfeet.com.br</t>
  </si>
  <si>
    <t>luiz.cabral@magicfeet.com.br</t>
  </si>
  <si>
    <t>LUIZ</t>
  </si>
  <si>
    <t>MANAUS</t>
  </si>
  <si>
    <t>AM</t>
  </si>
  <si>
    <t>MF COMERCIO DE CALÇADOS LTDA</t>
  </si>
  <si>
    <t>25.014.621/0001-55</t>
  </si>
  <si>
    <t>ADRIANÓPOLIS</t>
  </si>
  <si>
    <t>69.057-002</t>
  </si>
  <si>
    <t>05.471.177-0</t>
  </si>
  <si>
    <t>AV MÁRIO YPIRANGA 1300 SHOPPING MANAUARA  LJ 98</t>
  </si>
  <si>
    <t>mf048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</si>
</sst>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</font>
    <font>
      <b/>
      <sz val="14"/>
      <color indexed="8"/>
      <name val="Calibri"/>
      <family val="2"/>
    </font>
    <font>
      <b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5">
    <xf numFmtId="0" fontId="0" fillId="0" borderId="0" xfId="0"/>
    <xf numFmtId="0" fontId="0" fillId="3" borderId="14" xfId="0" applyFill="1" applyBorder="1" applyAlignment="1" applyProtection="1">
      <alignment horizontal="center" vertical="center" wrapText="1"/>
      <protection locked="0"/>
    </xf>
    <xf numFmtId="4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9" fillId="0" borderId="17" xfId="0" applyNumberFormat="1" applyFont="1" applyBorder="1" applyAlignment="1">
      <alignment horizontal="center" vertical="center" wrapText="1"/>
    </xf>
    <xf numFmtId="49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164" fontId="0" fillId="3" borderId="14" xfId="1" applyFont="1" applyFill="1" applyBorder="1" applyAlignment="1">
      <alignment horizontal="center" vertical="center" wrapText="1"/>
    </xf>
    <xf numFmtId="3" fontId="4" fillId="3" borderId="14" xfId="0" applyNumberFormat="1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165" fontId="0" fillId="3" borderId="1" xfId="0" applyNumberFormat="1" applyFill="1" applyBorder="1" applyAlignment="1" applyProtection="1">
      <alignment horizontal="center" vertical="center" wrapText="1"/>
      <protection locked="0"/>
    </xf>
    <xf numFmtId="165" fontId="0" fillId="3" borderId="14" xfId="0" applyNumberFormat="1" applyFill="1" applyBorder="1" applyAlignment="1" applyProtection="1">
      <alignment horizontal="center" vertical="center" wrapText="1"/>
      <protection locked="0"/>
    </xf>
    <xf numFmtId="165" fontId="0" fillId="3" borderId="14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5" xfId="0" applyFont="1" applyFill="1" applyBorder="1" applyAlignment="1">
      <alignment horizontal="center" vertical="center" wrapText="1"/>
    </xf>
    <xf numFmtId="165" fontId="0" fillId="3" borderId="14" xfId="0" applyNumberForma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49" fontId="11" fillId="0" borderId="13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64" fontId="4" fillId="3" borderId="3" xfId="1" applyFont="1" applyFill="1" applyBorder="1" applyAlignment="1">
      <alignment horizontal="center" vertical="center" wrapText="1"/>
    </xf>
    <xf numFmtId="164" fontId="4" fillId="3" borderId="9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164" fontId="9" fillId="0" borderId="18" xfId="1" applyFont="1" applyBorder="1" applyAlignment="1">
      <alignment horizontal="center" vertical="center" wrapText="1"/>
    </xf>
    <xf numFmtId="164" fontId="9" fillId="0" borderId="12" xfId="1" applyFont="1" applyBorder="1" applyAlignment="1">
      <alignment horizontal="center" vertical="center" wrapText="1"/>
    </xf>
    <xf numFmtId="164" fontId="9" fillId="0" borderId="26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64" fontId="4" fillId="3" borderId="27" xfId="1" applyFont="1" applyFill="1" applyBorder="1" applyAlignment="1">
      <alignment horizontal="center" vertical="center" wrapText="1"/>
    </xf>
    <xf numFmtId="164" fontId="4" fillId="3" borderId="31" xfId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64" fontId="6" fillId="2" borderId="3" xfId="1" applyFont="1" applyFill="1" applyBorder="1" applyAlignment="1">
      <alignment horizontal="center" vertical="center" wrapText="1"/>
    </xf>
    <xf numFmtId="164" fontId="6" fillId="2" borderId="9" xfId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78"/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1</xdr:row>
      <xdr:rowOff>38100</xdr:rowOff>
    </xdr:from>
    <xdr:to>
      <xdr:col>14</xdr:col>
      <xdr:colOff>266700</xdr:colOff>
      <xdr:row>1</xdr:row>
      <xdr:rowOff>877915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CFC96D-877D-415A-F4D4-53397DFB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0" y="177800"/>
          <a:ext cx="3708400" cy="839815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11</xdr:row>
      <xdr:rowOff>50800</xdr:rowOff>
    </xdr:from>
    <xdr:to>
      <xdr:col>1</xdr:col>
      <xdr:colOff>854143</xdr:colOff>
      <xdr:row>11</xdr:row>
      <xdr:rowOff>589280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F83F65-AF72-4C48-9643-7CD4050A94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3700" y="2857500"/>
          <a:ext cx="679518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188626</xdr:colOff>
      <xdr:row>12</xdr:row>
      <xdr:rowOff>0</xdr:rowOff>
    </xdr:from>
    <xdr:to>
      <xdr:col>1</xdr:col>
      <xdr:colOff>855980</xdr:colOff>
      <xdr:row>13</xdr:row>
      <xdr:rowOff>512483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889C4E8-6B39-E34B-99CC-B48B8E51F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7226" y="5410200"/>
          <a:ext cx="674974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154953</xdr:colOff>
      <xdr:row>12</xdr:row>
      <xdr:rowOff>0</xdr:rowOff>
    </xdr:from>
    <xdr:to>
      <xdr:col>1</xdr:col>
      <xdr:colOff>818497</xdr:colOff>
      <xdr:row>13</xdr:row>
      <xdr:rowOff>522008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4AB16FF-D78B-184E-AC60-7DEF5B7BE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3553" y="3473450"/>
          <a:ext cx="674974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175352</xdr:colOff>
      <xdr:row>12</xdr:row>
      <xdr:rowOff>0</xdr:rowOff>
    </xdr:from>
    <xdr:to>
      <xdr:col>1</xdr:col>
      <xdr:colOff>857946</xdr:colOff>
      <xdr:row>13</xdr:row>
      <xdr:rowOff>500833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BA49DFA-C9DF-F94F-B8BC-1EE57C5A4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952" y="4765675"/>
          <a:ext cx="674974" cy="54207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149225</xdr:colOff>
      <xdr:row>12</xdr:row>
      <xdr:rowOff>0</xdr:rowOff>
    </xdr:from>
    <xdr:to>
      <xdr:col>1</xdr:col>
      <xdr:colOff>819655</xdr:colOff>
      <xdr:row>13</xdr:row>
      <xdr:rowOff>512483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FF53CD2-43EF-5C48-9E2A-EC8669CCA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7825" y="4140200"/>
          <a:ext cx="670430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142875</xdr:colOff>
      <xdr:row>13</xdr:row>
      <xdr:rowOff>50800</xdr:rowOff>
    </xdr:from>
    <xdr:to>
      <xdr:col>1</xdr:col>
      <xdr:colOff>822393</xdr:colOff>
      <xdr:row>13</xdr:row>
      <xdr:rowOff>589280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EAF8A85-F4C0-314F-8F93-E68DEF179F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71475" y="6070600"/>
          <a:ext cx="679518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166401</xdr:colOff>
      <xdr:row>14</xdr:row>
      <xdr:rowOff>0</xdr:rowOff>
    </xdr:from>
    <xdr:to>
      <xdr:col>1</xdr:col>
      <xdr:colOff>841375</xdr:colOff>
      <xdr:row>15</xdr:row>
      <xdr:rowOff>512483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E97ADCB-2957-884F-9140-145B9093A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5001" y="8623300"/>
          <a:ext cx="674974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132728</xdr:colOff>
      <xdr:row>14</xdr:row>
      <xdr:rowOff>0</xdr:rowOff>
    </xdr:from>
    <xdr:to>
      <xdr:col>1</xdr:col>
      <xdr:colOff>817227</xdr:colOff>
      <xdr:row>15</xdr:row>
      <xdr:rowOff>522008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F8B2959-41A8-A249-AC5F-7777237EE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1328" y="6686550"/>
          <a:ext cx="674974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153127</xdr:colOff>
      <xdr:row>14</xdr:row>
      <xdr:rowOff>0</xdr:rowOff>
    </xdr:from>
    <xdr:to>
      <xdr:col>1</xdr:col>
      <xdr:colOff>822386</xdr:colOff>
      <xdr:row>15</xdr:row>
      <xdr:rowOff>500833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230CC73-8EC6-9542-9034-AE15967DF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727" y="7978775"/>
          <a:ext cx="674974" cy="54207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127000</xdr:colOff>
      <xdr:row>14</xdr:row>
      <xdr:rowOff>0</xdr:rowOff>
    </xdr:from>
    <xdr:to>
      <xdr:col>1</xdr:col>
      <xdr:colOff>797430</xdr:colOff>
      <xdr:row>15</xdr:row>
      <xdr:rowOff>512483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CC8875B-6AD8-4243-AB48-1696893F8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5600" y="7353300"/>
          <a:ext cx="670430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155575</xdr:colOff>
      <xdr:row>15</xdr:row>
      <xdr:rowOff>38100</xdr:rowOff>
    </xdr:from>
    <xdr:to>
      <xdr:col>1</xdr:col>
      <xdr:colOff>835093</xdr:colOff>
      <xdr:row>15</xdr:row>
      <xdr:rowOff>591820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1F757CA-CEA8-8444-A16C-571FCDA41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4175" y="9271000"/>
          <a:ext cx="679518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179101</xdr:colOff>
      <xdr:row>16</xdr:row>
      <xdr:rowOff>0</xdr:rowOff>
    </xdr:from>
    <xdr:to>
      <xdr:col>1</xdr:col>
      <xdr:colOff>854075</xdr:colOff>
      <xdr:row>17</xdr:row>
      <xdr:rowOff>504863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7AAE94FD-52AB-334F-B5C2-FF0F64A23F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7701" y="11823700"/>
          <a:ext cx="674974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145428</xdr:colOff>
      <xdr:row>16</xdr:row>
      <xdr:rowOff>0</xdr:rowOff>
    </xdr:from>
    <xdr:to>
      <xdr:col>1</xdr:col>
      <xdr:colOff>820402</xdr:colOff>
      <xdr:row>17</xdr:row>
      <xdr:rowOff>502958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9E391F02-921E-2543-B735-FE6B88E66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4028" y="9886950"/>
          <a:ext cx="674974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165827</xdr:colOff>
      <xdr:row>16</xdr:row>
      <xdr:rowOff>0</xdr:rowOff>
    </xdr:from>
    <xdr:to>
      <xdr:col>1</xdr:col>
      <xdr:colOff>840801</xdr:colOff>
      <xdr:row>17</xdr:row>
      <xdr:rowOff>516073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8290D367-74DB-FA40-8E53-D87FEC06D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4427" y="11179175"/>
          <a:ext cx="674974" cy="54207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139700</xdr:colOff>
      <xdr:row>16</xdr:row>
      <xdr:rowOff>0</xdr:rowOff>
    </xdr:from>
    <xdr:to>
      <xdr:col>1</xdr:col>
      <xdr:colOff>815845</xdr:colOff>
      <xdr:row>17</xdr:row>
      <xdr:rowOff>504863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A532AA5-C0DB-9444-AAA2-3ED42C888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8300" y="10553700"/>
          <a:ext cx="670430" cy="546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162414</xdr:colOff>
      <xdr:row>18</xdr:row>
      <xdr:rowOff>0</xdr:rowOff>
    </xdr:from>
    <xdr:to>
      <xdr:col>1</xdr:col>
      <xdr:colOff>854904</xdr:colOff>
      <xdr:row>19</xdr:row>
      <xdr:rowOff>529131</xdr:rowOff>
    </xdr:to>
    <xdr:pic>
      <xdr:nvPicPr>
        <xdr:cNvPr id="20" name="Imagem 19" descr="Desenho preto e branco&#10;&#10;O conteúdo gerado por IA pode estar incorreto.">
          <a:extLst>
            <a:ext uri="{FF2B5EF4-FFF2-40B4-BE49-F238E27FC236}">
              <a16:creationId xmlns:a16="http://schemas.microsoft.com/office/drawing/2014/main" id="{3BF53172-6A87-7141-84A3-D5D37EBDA5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1014" y="13763776"/>
          <a:ext cx="692490" cy="5627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156655</xdr:colOff>
      <xdr:row>18</xdr:row>
      <xdr:rowOff>0</xdr:rowOff>
    </xdr:from>
    <xdr:to>
      <xdr:col>1</xdr:col>
      <xdr:colOff>854039</xdr:colOff>
      <xdr:row>19</xdr:row>
      <xdr:rowOff>515484</xdr:rowOff>
    </xdr:to>
    <xdr:pic>
      <xdr:nvPicPr>
        <xdr:cNvPr id="21" name="Imagem 20" descr="Desenho preto e branco&#10;&#10;O conteúdo gerado por IA pode estar incorreto.">
          <a:extLst>
            <a:ext uri="{FF2B5EF4-FFF2-40B4-BE49-F238E27FC236}">
              <a16:creationId xmlns:a16="http://schemas.microsoft.com/office/drawing/2014/main" id="{AC66E928-72E9-234F-800C-03F82D330E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85255" y="14395449"/>
          <a:ext cx="687859" cy="55862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177800</xdr:colOff>
      <xdr:row>18</xdr:row>
      <xdr:rowOff>0</xdr:rowOff>
    </xdr:from>
    <xdr:to>
      <xdr:col>1</xdr:col>
      <xdr:colOff>855114</xdr:colOff>
      <xdr:row>19</xdr:row>
      <xdr:rowOff>492991</xdr:rowOff>
    </xdr:to>
    <xdr:pic>
      <xdr:nvPicPr>
        <xdr:cNvPr id="22" name="Imagem 21" descr="Desenho preto e branco&#10;&#10;O conteúdo gerado por IA pode estar incorreto.">
          <a:extLst>
            <a:ext uri="{FF2B5EF4-FFF2-40B4-BE49-F238E27FC236}">
              <a16:creationId xmlns:a16="http://schemas.microsoft.com/office/drawing/2014/main" id="{3DCAAD59-5CF9-514F-83A9-DEA774F6C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06400" y="15049500"/>
          <a:ext cx="684934" cy="5418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193072</xdr:colOff>
      <xdr:row>18</xdr:row>
      <xdr:rowOff>0</xdr:rowOff>
    </xdr:from>
    <xdr:to>
      <xdr:col>1</xdr:col>
      <xdr:colOff>876300</xdr:colOff>
      <xdr:row>19</xdr:row>
      <xdr:rowOff>532628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83C1BD71-73C7-A941-BE4D-EC52464F57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1672" y="13106574"/>
          <a:ext cx="683228" cy="55862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177800</xdr:colOff>
      <xdr:row>17</xdr:row>
      <xdr:rowOff>38100</xdr:rowOff>
    </xdr:from>
    <xdr:to>
      <xdr:col>2</xdr:col>
      <xdr:colOff>1270</xdr:colOff>
      <xdr:row>17</xdr:row>
      <xdr:rowOff>571500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18DC19B6-9775-8342-8607-91909C00A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6400" y="12484100"/>
          <a:ext cx="711200" cy="533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170859</xdr:colOff>
      <xdr:row>20</xdr:row>
      <xdr:rowOff>0</xdr:rowOff>
    </xdr:from>
    <xdr:to>
      <xdr:col>1</xdr:col>
      <xdr:colOff>855729</xdr:colOff>
      <xdr:row>21</xdr:row>
      <xdr:rowOff>529131</xdr:rowOff>
    </xdr:to>
    <xdr:pic>
      <xdr:nvPicPr>
        <xdr:cNvPr id="29" name="Imagem 28" descr="Desenho preto e branco&#10;&#10;O conteúdo gerado por IA pode estar incorreto.">
          <a:extLst>
            <a:ext uri="{FF2B5EF4-FFF2-40B4-BE49-F238E27FC236}">
              <a16:creationId xmlns:a16="http://schemas.microsoft.com/office/drawing/2014/main" id="{BDBFAB1E-7ADC-0E4C-96A3-3C0265FC81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9459" y="16976876"/>
          <a:ext cx="692490" cy="5627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165100</xdr:colOff>
      <xdr:row>20</xdr:row>
      <xdr:rowOff>0</xdr:rowOff>
    </xdr:from>
    <xdr:to>
      <xdr:col>1</xdr:col>
      <xdr:colOff>860579</xdr:colOff>
      <xdr:row>21</xdr:row>
      <xdr:rowOff>515484</xdr:rowOff>
    </xdr:to>
    <xdr:pic>
      <xdr:nvPicPr>
        <xdr:cNvPr id="30" name="Imagem 29" descr="Desenho preto e branco&#10;&#10;O conteúdo gerado por IA pode estar incorreto.">
          <a:extLst>
            <a:ext uri="{FF2B5EF4-FFF2-40B4-BE49-F238E27FC236}">
              <a16:creationId xmlns:a16="http://schemas.microsoft.com/office/drawing/2014/main" id="{EF554303-AD49-9E48-AB3E-46A4AED38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3700" y="17608549"/>
          <a:ext cx="687859" cy="55862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186245</xdr:colOff>
      <xdr:row>20</xdr:row>
      <xdr:rowOff>0</xdr:rowOff>
    </xdr:from>
    <xdr:to>
      <xdr:col>1</xdr:col>
      <xdr:colOff>855939</xdr:colOff>
      <xdr:row>21</xdr:row>
      <xdr:rowOff>492991</xdr:rowOff>
    </xdr:to>
    <xdr:pic>
      <xdr:nvPicPr>
        <xdr:cNvPr id="31" name="Imagem 30" descr="Desenho preto e branco&#10;&#10;O conteúdo gerado por IA pode estar incorreto.">
          <a:extLst>
            <a:ext uri="{FF2B5EF4-FFF2-40B4-BE49-F238E27FC236}">
              <a16:creationId xmlns:a16="http://schemas.microsoft.com/office/drawing/2014/main" id="{B744A2B2-2FF6-CD4D-BDC2-A8E763113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4845" y="18262600"/>
          <a:ext cx="684934" cy="5418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201517</xdr:colOff>
      <xdr:row>20</xdr:row>
      <xdr:rowOff>0</xdr:rowOff>
    </xdr:from>
    <xdr:to>
      <xdr:col>2</xdr:col>
      <xdr:colOff>825</xdr:colOff>
      <xdr:row>21</xdr:row>
      <xdr:rowOff>532628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44707A1-D111-A044-BF00-07D00432B2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0117" y="16319674"/>
          <a:ext cx="683228" cy="55862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186245</xdr:colOff>
      <xdr:row>19</xdr:row>
      <xdr:rowOff>38100</xdr:rowOff>
    </xdr:from>
    <xdr:to>
      <xdr:col>2</xdr:col>
      <xdr:colOff>2095</xdr:colOff>
      <xdr:row>19</xdr:row>
      <xdr:rowOff>571500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C66B3AA-9BA2-8241-BC62-714F4B83FA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4845" y="15697200"/>
          <a:ext cx="711200" cy="533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170859</xdr:colOff>
      <xdr:row>22</xdr:row>
      <xdr:rowOff>0</xdr:rowOff>
    </xdr:from>
    <xdr:to>
      <xdr:col>1</xdr:col>
      <xdr:colOff>855729</xdr:colOff>
      <xdr:row>23</xdr:row>
      <xdr:rowOff>529131</xdr:rowOff>
    </xdr:to>
    <xdr:pic>
      <xdr:nvPicPr>
        <xdr:cNvPr id="34" name="Imagem 33" descr="Desenho preto e branco&#10;&#10;O conteúdo gerado por IA pode estar incorreto.">
          <a:extLst>
            <a:ext uri="{FF2B5EF4-FFF2-40B4-BE49-F238E27FC236}">
              <a16:creationId xmlns:a16="http://schemas.microsoft.com/office/drawing/2014/main" id="{1D3E59D4-60D5-6546-8E0B-19573F3011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9459" y="20189976"/>
          <a:ext cx="692490" cy="5627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165100</xdr:colOff>
      <xdr:row>22</xdr:row>
      <xdr:rowOff>0</xdr:rowOff>
    </xdr:from>
    <xdr:to>
      <xdr:col>1</xdr:col>
      <xdr:colOff>860579</xdr:colOff>
      <xdr:row>23</xdr:row>
      <xdr:rowOff>515484</xdr:rowOff>
    </xdr:to>
    <xdr:pic>
      <xdr:nvPicPr>
        <xdr:cNvPr id="35" name="Imagem 34" descr="Desenho preto e branco&#10;&#10;O conteúdo gerado por IA pode estar incorreto.">
          <a:extLst>
            <a:ext uri="{FF2B5EF4-FFF2-40B4-BE49-F238E27FC236}">
              <a16:creationId xmlns:a16="http://schemas.microsoft.com/office/drawing/2014/main" id="{CA31CDA7-C649-EC49-8A67-9990162BF0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3700" y="20821649"/>
          <a:ext cx="687859" cy="55862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186245</xdr:colOff>
      <xdr:row>22</xdr:row>
      <xdr:rowOff>0</xdr:rowOff>
    </xdr:from>
    <xdr:to>
      <xdr:col>1</xdr:col>
      <xdr:colOff>855939</xdr:colOff>
      <xdr:row>23</xdr:row>
      <xdr:rowOff>492991</xdr:rowOff>
    </xdr:to>
    <xdr:pic>
      <xdr:nvPicPr>
        <xdr:cNvPr id="36" name="Imagem 35" descr="Desenho preto e branco&#10;&#10;O conteúdo gerado por IA pode estar incorreto.">
          <a:extLst>
            <a:ext uri="{FF2B5EF4-FFF2-40B4-BE49-F238E27FC236}">
              <a16:creationId xmlns:a16="http://schemas.microsoft.com/office/drawing/2014/main" id="{1576DC86-51CB-6E4A-800F-78D3D0855A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4845" y="21475700"/>
          <a:ext cx="684934" cy="5418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201517</xdr:colOff>
      <xdr:row>22</xdr:row>
      <xdr:rowOff>0</xdr:rowOff>
    </xdr:from>
    <xdr:to>
      <xdr:col>2</xdr:col>
      <xdr:colOff>825</xdr:colOff>
      <xdr:row>23</xdr:row>
      <xdr:rowOff>532628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38C69B0E-20E3-0E43-878B-36A660056C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0117" y="19532774"/>
          <a:ext cx="683228" cy="55862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1</xdr:col>
      <xdr:colOff>186245</xdr:colOff>
      <xdr:row>21</xdr:row>
      <xdr:rowOff>38100</xdr:rowOff>
    </xdr:from>
    <xdr:to>
      <xdr:col>2</xdr:col>
      <xdr:colOff>2095</xdr:colOff>
      <xdr:row>21</xdr:row>
      <xdr:rowOff>571500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77DCD7B3-41B1-2E45-9BBB-2C37BB27BA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4845" y="18910300"/>
          <a:ext cx="711200" cy="533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oneCellAnchor>
    <xdr:from>
      <xdr:col>1</xdr:col>
      <xdr:colOff>203200</xdr:colOff>
      <xdr:row>24</xdr:row>
      <xdr:rowOff>0</xdr:rowOff>
    </xdr:from>
    <xdr:ext cx="682537" cy="543434"/>
    <xdr:pic>
      <xdr:nvPicPr>
        <xdr:cNvPr id="39" name="Imagem 38" descr="Desenho preto e branco&#10;&#10;O conteúdo gerado por IA pode estar incorreto.">
          <a:extLst>
            <a:ext uri="{FF2B5EF4-FFF2-40B4-BE49-F238E27FC236}">
              <a16:creationId xmlns:a16="http://schemas.microsoft.com/office/drawing/2014/main" id="{4E8B740D-7405-D643-97EF-386CF4CE6E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1800" y="23390377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186421</xdr:colOff>
      <xdr:row>24</xdr:row>
      <xdr:rowOff>0</xdr:rowOff>
    </xdr:from>
    <xdr:ext cx="682537" cy="543434"/>
    <xdr:pic>
      <xdr:nvPicPr>
        <xdr:cNvPr id="40" name="Imagem 39" descr="Desenho preto e branco&#10;&#10;O conteúdo gerado por IA pode estar incorreto.">
          <a:extLst>
            <a:ext uri="{FF2B5EF4-FFF2-40B4-BE49-F238E27FC236}">
              <a16:creationId xmlns:a16="http://schemas.microsoft.com/office/drawing/2014/main" id="{CDC3F0EA-1A49-934D-B7EF-32E5BD72F8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5021" y="2403475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206463</xdr:colOff>
      <xdr:row>24</xdr:row>
      <xdr:rowOff>0</xdr:rowOff>
    </xdr:from>
    <xdr:ext cx="682537" cy="543434"/>
    <xdr:pic>
      <xdr:nvPicPr>
        <xdr:cNvPr id="41" name="Imagem 40" descr="Desenho preto e branco&#10;&#10;O conteúdo gerado por IA pode estar incorreto.">
          <a:extLst>
            <a:ext uri="{FF2B5EF4-FFF2-40B4-BE49-F238E27FC236}">
              <a16:creationId xmlns:a16="http://schemas.microsoft.com/office/drawing/2014/main" id="{1771E6EE-C4DD-0946-9461-CFA908DFA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5063" y="24704166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186420</xdr:colOff>
      <xdr:row>24</xdr:row>
      <xdr:rowOff>0</xdr:rowOff>
    </xdr:from>
    <xdr:ext cx="682537" cy="538421"/>
    <xdr:pic>
      <xdr:nvPicPr>
        <xdr:cNvPr id="42" name="Imagem 41">
          <a:extLst>
            <a:ext uri="{FF2B5EF4-FFF2-40B4-BE49-F238E27FC236}">
              <a16:creationId xmlns:a16="http://schemas.microsoft.com/office/drawing/2014/main" id="{6B355314-1141-9B49-813C-E5743DB2A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5020" y="22771274"/>
          <a:ext cx="682537" cy="5384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182166</xdr:colOff>
      <xdr:row>23</xdr:row>
      <xdr:rowOff>50800</xdr:rowOff>
    </xdr:from>
    <xdr:ext cx="682537" cy="543434"/>
    <xdr:pic>
      <xdr:nvPicPr>
        <xdr:cNvPr id="43" name="Imagem 42">
          <a:extLst>
            <a:ext uri="{FF2B5EF4-FFF2-40B4-BE49-F238E27FC236}">
              <a16:creationId xmlns:a16="http://schemas.microsoft.com/office/drawing/2014/main" id="{DA9184FB-0E08-684E-9D7E-67F50CBAD4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0766" y="2213610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224234</xdr:colOff>
      <xdr:row>26</xdr:row>
      <xdr:rowOff>0</xdr:rowOff>
    </xdr:from>
    <xdr:ext cx="682537" cy="543434"/>
    <xdr:pic>
      <xdr:nvPicPr>
        <xdr:cNvPr id="44" name="Imagem 43" descr="Desenho preto e branco&#10;&#10;O conteúdo gerado por IA pode estar incorreto.">
          <a:extLst>
            <a:ext uri="{FF2B5EF4-FFF2-40B4-BE49-F238E27FC236}">
              <a16:creationId xmlns:a16="http://schemas.microsoft.com/office/drawing/2014/main" id="{07140E94-F523-EB45-9310-B7F8C00AB6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2834" y="26616177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207455</xdr:colOff>
      <xdr:row>26</xdr:row>
      <xdr:rowOff>0</xdr:rowOff>
    </xdr:from>
    <xdr:ext cx="682537" cy="543434"/>
    <xdr:pic>
      <xdr:nvPicPr>
        <xdr:cNvPr id="45" name="Imagem 44" descr="Desenho preto e branco&#10;&#10;O conteúdo gerado por IA pode estar incorreto.">
          <a:extLst>
            <a:ext uri="{FF2B5EF4-FFF2-40B4-BE49-F238E27FC236}">
              <a16:creationId xmlns:a16="http://schemas.microsoft.com/office/drawing/2014/main" id="{E2C0DC53-9487-DC46-97B8-EC58B291A2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36055" y="2726055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227497</xdr:colOff>
      <xdr:row>26</xdr:row>
      <xdr:rowOff>0</xdr:rowOff>
    </xdr:from>
    <xdr:ext cx="682537" cy="543434"/>
    <xdr:pic>
      <xdr:nvPicPr>
        <xdr:cNvPr id="46" name="Imagem 45" descr="Desenho preto e branco&#10;&#10;O conteúdo gerado por IA pode estar incorreto.">
          <a:extLst>
            <a:ext uri="{FF2B5EF4-FFF2-40B4-BE49-F238E27FC236}">
              <a16:creationId xmlns:a16="http://schemas.microsoft.com/office/drawing/2014/main" id="{6F45F3DC-EA63-A546-955C-64B0B050B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56097" y="27917266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207454</xdr:colOff>
      <xdr:row>26</xdr:row>
      <xdr:rowOff>0</xdr:rowOff>
    </xdr:from>
    <xdr:ext cx="682537" cy="538421"/>
    <xdr:pic>
      <xdr:nvPicPr>
        <xdr:cNvPr id="47" name="Imagem 46">
          <a:extLst>
            <a:ext uri="{FF2B5EF4-FFF2-40B4-BE49-F238E27FC236}">
              <a16:creationId xmlns:a16="http://schemas.microsoft.com/office/drawing/2014/main" id="{D5172003-2D59-EC41-90A6-63B8F3440B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6054" y="25997074"/>
          <a:ext cx="682537" cy="5384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203200</xdr:colOff>
      <xdr:row>25</xdr:row>
      <xdr:rowOff>63500</xdr:rowOff>
    </xdr:from>
    <xdr:ext cx="682537" cy="543434"/>
    <xdr:pic>
      <xdr:nvPicPr>
        <xdr:cNvPr id="48" name="Imagem 47">
          <a:extLst>
            <a:ext uri="{FF2B5EF4-FFF2-40B4-BE49-F238E27FC236}">
              <a16:creationId xmlns:a16="http://schemas.microsoft.com/office/drawing/2014/main" id="{986DE190-469E-6E4B-AE27-D43A6436D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1800" y="2536190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186134</xdr:colOff>
      <xdr:row>28</xdr:row>
      <xdr:rowOff>0</xdr:rowOff>
    </xdr:from>
    <xdr:ext cx="682537" cy="543434"/>
    <xdr:pic>
      <xdr:nvPicPr>
        <xdr:cNvPr id="49" name="Imagem 48" descr="Desenho preto e branco&#10;&#10;O conteúdo gerado por IA pode estar incorreto.">
          <a:extLst>
            <a:ext uri="{FF2B5EF4-FFF2-40B4-BE49-F238E27FC236}">
              <a16:creationId xmlns:a16="http://schemas.microsoft.com/office/drawing/2014/main" id="{C5579CEB-6F76-1649-AC09-42C65FE1C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4734" y="29803877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169355</xdr:colOff>
      <xdr:row>28</xdr:row>
      <xdr:rowOff>0</xdr:rowOff>
    </xdr:from>
    <xdr:ext cx="682537" cy="543434"/>
    <xdr:pic>
      <xdr:nvPicPr>
        <xdr:cNvPr id="50" name="Imagem 49" descr="Desenho preto e branco&#10;&#10;O conteúdo gerado por IA pode estar incorreto.">
          <a:extLst>
            <a:ext uri="{FF2B5EF4-FFF2-40B4-BE49-F238E27FC236}">
              <a16:creationId xmlns:a16="http://schemas.microsoft.com/office/drawing/2014/main" id="{7066C64A-DF49-D84E-9D2F-28F2DC2AAC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97955" y="3044825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189397</xdr:colOff>
      <xdr:row>28</xdr:row>
      <xdr:rowOff>0</xdr:rowOff>
    </xdr:from>
    <xdr:ext cx="682537" cy="543434"/>
    <xdr:pic>
      <xdr:nvPicPr>
        <xdr:cNvPr id="55" name="Imagem 54" descr="Desenho preto e branco&#10;&#10;O conteúdo gerado por IA pode estar incorreto.">
          <a:extLst>
            <a:ext uri="{FF2B5EF4-FFF2-40B4-BE49-F238E27FC236}">
              <a16:creationId xmlns:a16="http://schemas.microsoft.com/office/drawing/2014/main" id="{27FA41F4-07CC-9547-A8E1-385AB2AC2E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417997" y="31117666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169354</xdr:colOff>
      <xdr:row>28</xdr:row>
      <xdr:rowOff>0</xdr:rowOff>
    </xdr:from>
    <xdr:ext cx="682537" cy="538421"/>
    <xdr:pic>
      <xdr:nvPicPr>
        <xdr:cNvPr id="56" name="Imagem 55">
          <a:extLst>
            <a:ext uri="{FF2B5EF4-FFF2-40B4-BE49-F238E27FC236}">
              <a16:creationId xmlns:a16="http://schemas.microsoft.com/office/drawing/2014/main" id="{210E1DE2-7B84-1E40-B415-6A071AEB7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7954" y="29184774"/>
          <a:ext cx="682537" cy="5384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1</xdr:col>
      <xdr:colOff>165100</xdr:colOff>
      <xdr:row>27</xdr:row>
      <xdr:rowOff>38100</xdr:rowOff>
    </xdr:from>
    <xdr:ext cx="682537" cy="543434"/>
    <xdr:pic>
      <xdr:nvPicPr>
        <xdr:cNvPr id="57" name="Imagem 56">
          <a:extLst>
            <a:ext uri="{FF2B5EF4-FFF2-40B4-BE49-F238E27FC236}">
              <a16:creationId xmlns:a16="http://schemas.microsoft.com/office/drawing/2014/main" id="{A59805B4-6457-A947-BE3E-39DA88300F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700" y="28549600"/>
          <a:ext cx="682537" cy="543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iz.cabral@magicfeet.com.br" TargetMode="External"/><Relationship Id="rId1" Type="http://schemas.openxmlformats.org/officeDocument/2006/relationships/hyperlink" Target="mailto:mf048@magicfeet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3"/>
  <sheetViews>
    <sheetView showGridLines="0" tabSelected="1" zoomScale="85" zoomScaleNormal="85" workbookViewId="0">
      <pane ySplit="10" topLeftCell="A11" activePane="bottomLeft" state="frozen"/>
      <selection pane="bottomLeft" activeCell="E12" sqref="E12"/>
    </sheetView>
  </sheetViews>
  <sheetFormatPr defaultColWidth="8.7109375" defaultRowHeight="15" x14ac:dyDescent="0.25"/>
  <cols>
    <col min="1" max="1" width="3" style="6" customWidth="1"/>
    <col min="2" max="2" width="13.42578125" style="6" customWidth="1"/>
    <col min="3" max="3" width="9.42578125" style="6" customWidth="1"/>
    <col min="4" max="4" width="11.42578125" style="7" customWidth="1"/>
    <col min="5" max="5" width="28.28515625" style="7" bestFit="1" customWidth="1"/>
    <col min="6" max="16" width="6.42578125" style="6" customWidth="1"/>
    <col min="17" max="17" width="14.42578125" style="6" customWidth="1"/>
    <col min="18" max="18" width="15.42578125" style="6" bestFit="1" customWidth="1"/>
    <col min="19" max="19" width="11.7109375" style="6" bestFit="1" customWidth="1"/>
    <col min="20" max="20" width="13.42578125" style="6" customWidth="1"/>
    <col min="21" max="21" width="3.42578125" style="6" customWidth="1"/>
    <col min="22" max="22" width="1.140625" style="6" customWidth="1"/>
    <col min="23" max="25" width="31.42578125" style="6" customWidth="1"/>
    <col min="26" max="16384" width="8.7109375" style="6"/>
  </cols>
  <sheetData>
    <row r="1" spans="2:21" ht="11.25" customHeight="1" thickBot="1" x14ac:dyDescent="0.3"/>
    <row r="2" spans="2:21" ht="73.150000000000006" customHeight="1" thickBot="1" x14ac:dyDescent="0.35"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2"/>
    </row>
    <row r="3" spans="2:21" ht="13.9" customHeight="1" x14ac:dyDescent="0.25">
      <c r="B3" s="8" t="s">
        <v>18</v>
      </c>
      <c r="C3" s="45" t="s">
        <v>54</v>
      </c>
      <c r="D3" s="46"/>
      <c r="E3" s="46"/>
      <c r="F3" s="46"/>
      <c r="G3" s="46"/>
      <c r="H3" s="47"/>
      <c r="I3" s="43" t="s">
        <v>7</v>
      </c>
      <c r="J3" s="44"/>
      <c r="K3" s="48" t="s">
        <v>60</v>
      </c>
      <c r="L3" s="48"/>
      <c r="M3" s="48"/>
      <c r="N3" s="48"/>
      <c r="O3" s="48"/>
      <c r="P3" s="48"/>
      <c r="Q3" s="48"/>
      <c r="R3" s="9" t="s">
        <v>2</v>
      </c>
      <c r="S3" s="49" t="s">
        <v>51</v>
      </c>
      <c r="T3" s="49"/>
      <c r="U3" s="50"/>
    </row>
    <row r="4" spans="2:21" ht="13.9" customHeight="1" thickBot="1" x14ac:dyDescent="0.3">
      <c r="B4" s="10" t="s">
        <v>3</v>
      </c>
      <c r="C4" s="51" t="s">
        <v>55</v>
      </c>
      <c r="D4" s="51"/>
      <c r="E4" s="51"/>
      <c r="F4" s="52" t="s">
        <v>19</v>
      </c>
      <c r="G4" s="53"/>
      <c r="H4" s="53"/>
      <c r="I4" s="54" t="s">
        <v>58</v>
      </c>
      <c r="J4" s="51"/>
      <c r="K4" s="51"/>
      <c r="L4" s="51"/>
      <c r="M4" s="51"/>
      <c r="N4" s="51"/>
      <c r="O4" s="51"/>
      <c r="P4" s="51"/>
      <c r="Q4" s="51"/>
      <c r="R4" s="11" t="s">
        <v>9</v>
      </c>
      <c r="S4" s="55" t="s">
        <v>47</v>
      </c>
      <c r="T4" s="56"/>
      <c r="U4" s="57"/>
    </row>
    <row r="5" spans="2:21" ht="13.9" customHeight="1" x14ac:dyDescent="0.25">
      <c r="B5" s="10" t="s">
        <v>4</v>
      </c>
      <c r="C5" s="55" t="s">
        <v>59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8"/>
      <c r="R5" s="11" t="s">
        <v>14</v>
      </c>
      <c r="S5" s="49" t="s">
        <v>50</v>
      </c>
      <c r="T5" s="49"/>
      <c r="U5" s="50"/>
    </row>
    <row r="6" spans="2:21" ht="13.9" customHeight="1" thickBot="1" x14ac:dyDescent="0.3">
      <c r="B6" s="10" t="s">
        <v>5</v>
      </c>
      <c r="C6" s="55" t="s">
        <v>52</v>
      </c>
      <c r="D6" s="56"/>
      <c r="E6" s="56"/>
      <c r="F6" s="11" t="s">
        <v>6</v>
      </c>
      <c r="G6" s="51" t="s">
        <v>53</v>
      </c>
      <c r="H6" s="51"/>
      <c r="I6" s="52" t="s">
        <v>12</v>
      </c>
      <c r="J6" s="53"/>
      <c r="K6" s="55" t="s">
        <v>56</v>
      </c>
      <c r="L6" s="56"/>
      <c r="M6" s="58"/>
      <c r="N6" s="12" t="s">
        <v>10</v>
      </c>
      <c r="O6" s="55" t="s">
        <v>57</v>
      </c>
      <c r="P6" s="56"/>
      <c r="Q6" s="56"/>
      <c r="R6" s="56"/>
      <c r="S6" s="56"/>
      <c r="T6" s="56"/>
      <c r="U6" s="57"/>
    </row>
    <row r="7" spans="2:21" ht="13.9" customHeight="1" x14ac:dyDescent="0.25">
      <c r="B7" s="33" t="s">
        <v>11</v>
      </c>
      <c r="C7" s="34"/>
      <c r="D7" s="49" t="s">
        <v>49</v>
      </c>
      <c r="E7" s="49"/>
      <c r="F7" s="50"/>
      <c r="G7" s="49"/>
      <c r="H7" s="49"/>
      <c r="I7" s="52" t="s">
        <v>1</v>
      </c>
      <c r="J7" s="53"/>
      <c r="K7" s="53"/>
      <c r="L7" s="51" t="s">
        <v>47</v>
      </c>
      <c r="M7" s="51"/>
      <c r="N7" s="51"/>
      <c r="O7" s="51"/>
      <c r="P7" s="51"/>
      <c r="Q7" s="51"/>
      <c r="R7" s="51"/>
      <c r="S7" s="51"/>
      <c r="T7" s="51"/>
      <c r="U7" s="64"/>
    </row>
    <row r="8" spans="2:21" ht="13.9" customHeight="1" x14ac:dyDescent="0.25">
      <c r="B8" s="33" t="s">
        <v>13</v>
      </c>
      <c r="C8" s="34"/>
      <c r="D8" s="55" t="s">
        <v>48</v>
      </c>
      <c r="E8" s="56"/>
      <c r="F8" s="52" t="s">
        <v>20</v>
      </c>
      <c r="G8" s="53"/>
      <c r="H8" s="53"/>
      <c r="I8" s="70" t="s">
        <v>31</v>
      </c>
      <c r="J8" s="70"/>
      <c r="K8" s="70"/>
      <c r="L8" s="70"/>
      <c r="M8" s="70"/>
      <c r="N8" s="70"/>
      <c r="O8" s="70"/>
      <c r="P8" s="70"/>
      <c r="Q8" s="70"/>
      <c r="R8" s="11" t="s">
        <v>8</v>
      </c>
      <c r="S8" s="61">
        <v>46175</v>
      </c>
      <c r="T8" s="62"/>
      <c r="U8" s="63"/>
    </row>
    <row r="9" spans="2:21" ht="28.15" customHeight="1" thickBot="1" x14ac:dyDescent="0.3">
      <c r="B9" s="27" t="s">
        <v>32</v>
      </c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7"/>
    </row>
    <row r="10" spans="2:21" ht="22.15" customHeight="1" thickBot="1" x14ac:dyDescent="0.3">
      <c r="B10" s="13" t="s">
        <v>15</v>
      </c>
      <c r="C10" s="14" t="s">
        <v>16</v>
      </c>
      <c r="D10" s="3" t="s">
        <v>17</v>
      </c>
      <c r="E10" s="3" t="s">
        <v>24</v>
      </c>
      <c r="F10" s="59" t="s">
        <v>23</v>
      </c>
      <c r="G10" s="65"/>
      <c r="H10" s="65"/>
      <c r="I10" s="66"/>
      <c r="J10" s="67" t="s">
        <v>25</v>
      </c>
      <c r="K10" s="68"/>
      <c r="L10" s="69"/>
      <c r="M10" s="59" t="s">
        <v>26</v>
      </c>
      <c r="N10" s="65"/>
      <c r="O10" s="65"/>
      <c r="P10" s="66"/>
      <c r="Q10" s="14" t="s">
        <v>0</v>
      </c>
      <c r="R10" s="14" t="s">
        <v>21</v>
      </c>
      <c r="S10" s="15" t="s">
        <v>33</v>
      </c>
      <c r="T10" s="59" t="s">
        <v>22</v>
      </c>
      <c r="U10" s="60"/>
    </row>
    <row r="11" spans="2:21" ht="3" customHeight="1" x14ac:dyDescent="0.25">
      <c r="B11" s="16"/>
      <c r="C11" s="1"/>
      <c r="D11" s="4"/>
      <c r="E11" s="4"/>
      <c r="F11" s="40"/>
      <c r="G11" s="41"/>
      <c r="H11" s="41"/>
      <c r="I11" s="42"/>
      <c r="J11" s="40"/>
      <c r="K11" s="41"/>
      <c r="L11" s="42"/>
      <c r="M11" s="40"/>
      <c r="N11" s="41"/>
      <c r="O11" s="41"/>
      <c r="P11" s="42"/>
      <c r="Q11" s="20"/>
      <c r="R11" s="2"/>
      <c r="S11" s="21"/>
      <c r="T11" s="38"/>
      <c r="U11" s="39"/>
    </row>
    <row r="12" spans="2:21" ht="49.9" customHeight="1" x14ac:dyDescent="0.25">
      <c r="B12" s="16"/>
      <c r="C12" s="1" t="s">
        <v>38</v>
      </c>
      <c r="D12" s="4">
        <v>100</v>
      </c>
      <c r="E12" s="4" t="s">
        <v>37</v>
      </c>
      <c r="F12" s="40" t="s">
        <v>30</v>
      </c>
      <c r="G12" s="41"/>
      <c r="H12" s="41"/>
      <c r="I12" s="42"/>
      <c r="J12" s="73" t="s">
        <v>34</v>
      </c>
      <c r="K12" s="74"/>
      <c r="L12" s="75"/>
      <c r="M12" s="73" t="s">
        <v>27</v>
      </c>
      <c r="N12" s="74"/>
      <c r="O12" s="74"/>
      <c r="P12" s="75"/>
      <c r="Q12" s="20">
        <v>8.99</v>
      </c>
      <c r="R12" s="26">
        <v>24.99</v>
      </c>
      <c r="S12" s="21">
        <v>36</v>
      </c>
      <c r="T12" s="71">
        <f t="shared" ref="T12" si="0">Q12*S12</f>
        <v>323.64</v>
      </c>
      <c r="U12" s="72"/>
    </row>
    <row r="13" spans="2:21" ht="3" customHeight="1" x14ac:dyDescent="0.25">
      <c r="B13" s="16"/>
      <c r="C13" s="1"/>
      <c r="D13" s="4"/>
      <c r="E13" s="4"/>
      <c r="F13" s="40"/>
      <c r="G13" s="41"/>
      <c r="H13" s="41"/>
      <c r="I13" s="42"/>
      <c r="J13" s="40"/>
      <c r="K13" s="41"/>
      <c r="L13" s="42"/>
      <c r="M13" s="40"/>
      <c r="N13" s="41"/>
      <c r="O13" s="41"/>
      <c r="P13" s="42"/>
      <c r="Q13" s="20"/>
      <c r="R13" s="25"/>
      <c r="S13" s="21"/>
      <c r="T13" s="38"/>
      <c r="U13" s="39"/>
    </row>
    <row r="14" spans="2:21" ht="49.9" customHeight="1" x14ac:dyDescent="0.25">
      <c r="B14" s="16"/>
      <c r="C14" s="1" t="s">
        <v>39</v>
      </c>
      <c r="D14" s="5">
        <v>100</v>
      </c>
      <c r="E14" s="4" t="s">
        <v>37</v>
      </c>
      <c r="F14" s="40" t="s">
        <v>30</v>
      </c>
      <c r="G14" s="41"/>
      <c r="H14" s="41"/>
      <c r="I14" s="42"/>
      <c r="J14" s="73" t="s">
        <v>35</v>
      </c>
      <c r="K14" s="74"/>
      <c r="L14" s="75"/>
      <c r="M14" s="73" t="s">
        <v>27</v>
      </c>
      <c r="N14" s="74"/>
      <c r="O14" s="74"/>
      <c r="P14" s="75"/>
      <c r="Q14" s="20">
        <v>8.99</v>
      </c>
      <c r="R14" s="26">
        <v>24.99</v>
      </c>
      <c r="S14" s="21">
        <v>36</v>
      </c>
      <c r="T14" s="38">
        <f t="shared" ref="T14" si="1">Q14*S14</f>
        <v>323.64</v>
      </c>
      <c r="U14" s="39"/>
    </row>
    <row r="15" spans="2:21" ht="3" customHeight="1" x14ac:dyDescent="0.25">
      <c r="B15" s="16"/>
      <c r="C15" s="1"/>
      <c r="D15" s="4"/>
      <c r="E15" s="4"/>
      <c r="F15" s="40"/>
      <c r="G15" s="41"/>
      <c r="H15" s="41"/>
      <c r="I15" s="42"/>
      <c r="J15" s="40"/>
      <c r="K15" s="41"/>
      <c r="L15" s="42"/>
      <c r="M15" s="40"/>
      <c r="N15" s="41"/>
      <c r="O15" s="41"/>
      <c r="P15" s="42"/>
      <c r="Q15" s="20"/>
      <c r="R15" s="25"/>
      <c r="S15" s="21"/>
      <c r="T15" s="38"/>
      <c r="U15" s="39"/>
    </row>
    <row r="16" spans="2:21" ht="49.9" customHeight="1" x14ac:dyDescent="0.25">
      <c r="B16" s="16"/>
      <c r="C16" s="1" t="s">
        <v>40</v>
      </c>
      <c r="D16" s="5">
        <v>100</v>
      </c>
      <c r="E16" s="4" t="s">
        <v>37</v>
      </c>
      <c r="F16" s="40" t="s">
        <v>30</v>
      </c>
      <c r="G16" s="41"/>
      <c r="H16" s="41"/>
      <c r="I16" s="42"/>
      <c r="J16" s="73" t="s">
        <v>36</v>
      </c>
      <c r="K16" s="74"/>
      <c r="L16" s="75"/>
      <c r="M16" s="73" t="s">
        <v>27</v>
      </c>
      <c r="N16" s="74"/>
      <c r="O16" s="74"/>
      <c r="P16" s="75"/>
      <c r="Q16" s="20">
        <v>8.99</v>
      </c>
      <c r="R16" s="26">
        <v>24.99</v>
      </c>
      <c r="S16" s="21">
        <v>36</v>
      </c>
      <c r="T16" s="38">
        <f t="shared" ref="T16" si="2">Q16*S16</f>
        <v>323.64</v>
      </c>
      <c r="U16" s="39"/>
    </row>
    <row r="17" spans="2:21" ht="3" customHeight="1" x14ac:dyDescent="0.25">
      <c r="B17" s="16"/>
      <c r="C17" s="1"/>
      <c r="D17" s="4"/>
      <c r="E17" s="4"/>
      <c r="F17" s="40"/>
      <c r="G17" s="41"/>
      <c r="H17" s="41"/>
      <c r="I17" s="42"/>
      <c r="J17" s="40"/>
      <c r="K17" s="41"/>
      <c r="L17" s="42"/>
      <c r="M17" s="40"/>
      <c r="N17" s="41"/>
      <c r="O17" s="41"/>
      <c r="P17" s="42"/>
      <c r="Q17" s="20"/>
      <c r="R17" s="25"/>
      <c r="S17" s="21"/>
      <c r="T17" s="38"/>
      <c r="U17" s="39"/>
    </row>
    <row r="18" spans="2:21" ht="49.9" customHeight="1" x14ac:dyDescent="0.25">
      <c r="B18" s="22"/>
      <c r="C18" s="1" t="s">
        <v>41</v>
      </c>
      <c r="D18" s="5">
        <v>100</v>
      </c>
      <c r="E18" s="4" t="s">
        <v>28</v>
      </c>
      <c r="F18" s="40" t="s">
        <v>30</v>
      </c>
      <c r="G18" s="41"/>
      <c r="H18" s="41"/>
      <c r="I18" s="42"/>
      <c r="J18" s="73" t="s">
        <v>34</v>
      </c>
      <c r="K18" s="74"/>
      <c r="L18" s="75"/>
      <c r="M18" s="73" t="s">
        <v>27</v>
      </c>
      <c r="N18" s="74"/>
      <c r="O18" s="74"/>
      <c r="P18" s="75"/>
      <c r="Q18" s="28">
        <v>9.19</v>
      </c>
      <c r="R18" s="24">
        <v>24.99</v>
      </c>
      <c r="S18" s="23">
        <v>36</v>
      </c>
      <c r="T18" s="38">
        <f t="shared" ref="T18" si="3">Q18*S18</f>
        <v>330.84</v>
      </c>
      <c r="U18" s="39"/>
    </row>
    <row r="19" spans="2:21" ht="3" customHeight="1" x14ac:dyDescent="0.25">
      <c r="B19" s="16"/>
      <c r="C19" s="1"/>
      <c r="D19" s="4"/>
      <c r="E19" s="4"/>
      <c r="F19" s="40"/>
      <c r="G19" s="41"/>
      <c r="H19" s="41"/>
      <c r="I19" s="42"/>
      <c r="J19" s="40"/>
      <c r="K19" s="41"/>
      <c r="L19" s="42"/>
      <c r="M19" s="40"/>
      <c r="N19" s="41"/>
      <c r="O19" s="41"/>
      <c r="P19" s="42"/>
      <c r="Q19" s="20"/>
      <c r="R19" s="25"/>
      <c r="S19" s="21"/>
      <c r="T19" s="38"/>
      <c r="U19" s="39"/>
    </row>
    <row r="20" spans="2:21" ht="49.9" customHeight="1" x14ac:dyDescent="0.25">
      <c r="B20" s="16"/>
      <c r="C20" s="1" t="s">
        <v>42</v>
      </c>
      <c r="D20" s="5">
        <v>100</v>
      </c>
      <c r="E20" s="4" t="s">
        <v>28</v>
      </c>
      <c r="F20" s="40" t="s">
        <v>30</v>
      </c>
      <c r="G20" s="41"/>
      <c r="H20" s="41"/>
      <c r="I20" s="42"/>
      <c r="J20" s="73" t="s">
        <v>35</v>
      </c>
      <c r="K20" s="74"/>
      <c r="L20" s="75"/>
      <c r="M20" s="73" t="s">
        <v>27</v>
      </c>
      <c r="N20" s="74"/>
      <c r="O20" s="74"/>
      <c r="P20" s="75"/>
      <c r="Q20" s="28">
        <v>9.19</v>
      </c>
      <c r="R20" s="24">
        <v>24.99</v>
      </c>
      <c r="S20" s="21">
        <v>36</v>
      </c>
      <c r="T20" s="38">
        <f t="shared" ref="T20" si="4">Q20*S20</f>
        <v>330.84</v>
      </c>
      <c r="U20" s="39"/>
    </row>
    <row r="21" spans="2:21" ht="3" customHeight="1" x14ac:dyDescent="0.25">
      <c r="B21" s="16"/>
      <c r="C21" s="1"/>
      <c r="D21" s="4"/>
      <c r="E21" s="4"/>
      <c r="F21" s="40"/>
      <c r="G21" s="41"/>
      <c r="H21" s="41"/>
      <c r="I21" s="42"/>
      <c r="J21" s="40"/>
      <c r="K21" s="41"/>
      <c r="L21" s="42"/>
      <c r="M21" s="40"/>
      <c r="N21" s="41"/>
      <c r="O21" s="41"/>
      <c r="P21" s="42"/>
      <c r="Q21" s="20"/>
      <c r="R21" s="25"/>
      <c r="S21" s="21"/>
      <c r="T21" s="38"/>
      <c r="U21" s="39"/>
    </row>
    <row r="22" spans="2:21" ht="49.9" customHeight="1" x14ac:dyDescent="0.25">
      <c r="B22" s="16"/>
      <c r="C22" s="1" t="s">
        <v>43</v>
      </c>
      <c r="D22" s="5">
        <v>100</v>
      </c>
      <c r="E22" s="4" t="s">
        <v>28</v>
      </c>
      <c r="F22" s="40" t="s">
        <v>30</v>
      </c>
      <c r="G22" s="41"/>
      <c r="H22" s="41"/>
      <c r="I22" s="42"/>
      <c r="J22" s="73" t="s">
        <v>36</v>
      </c>
      <c r="K22" s="74"/>
      <c r="L22" s="75"/>
      <c r="M22" s="73" t="s">
        <v>27</v>
      </c>
      <c r="N22" s="74"/>
      <c r="O22" s="74"/>
      <c r="P22" s="75"/>
      <c r="Q22" s="28">
        <v>9.19</v>
      </c>
      <c r="R22" s="24">
        <v>24.99</v>
      </c>
      <c r="S22" s="21">
        <v>36</v>
      </c>
      <c r="T22" s="38">
        <f t="shared" ref="T22" si="5">Q22*S22</f>
        <v>330.84</v>
      </c>
      <c r="U22" s="39"/>
    </row>
    <row r="23" spans="2:21" ht="3" customHeight="1" x14ac:dyDescent="0.25">
      <c r="B23" s="16"/>
      <c r="C23" s="1"/>
      <c r="D23" s="4"/>
      <c r="E23" s="4"/>
      <c r="F23" s="40"/>
      <c r="G23" s="41"/>
      <c r="H23" s="41"/>
      <c r="I23" s="42"/>
      <c r="J23" s="40"/>
      <c r="K23" s="41"/>
      <c r="L23" s="42"/>
      <c r="M23" s="40"/>
      <c r="N23" s="41"/>
      <c r="O23" s="41"/>
      <c r="P23" s="42"/>
      <c r="Q23" s="20"/>
      <c r="R23" s="25"/>
      <c r="S23" s="21"/>
      <c r="T23" s="38"/>
      <c r="U23" s="39"/>
    </row>
    <row r="24" spans="2:21" ht="49.9" customHeight="1" x14ac:dyDescent="0.25">
      <c r="B24" s="16"/>
      <c r="C24" s="1" t="s">
        <v>44</v>
      </c>
      <c r="D24" s="5">
        <v>100</v>
      </c>
      <c r="E24" s="4" t="s">
        <v>29</v>
      </c>
      <c r="F24" s="40" t="s">
        <v>30</v>
      </c>
      <c r="G24" s="41"/>
      <c r="H24" s="41"/>
      <c r="I24" s="42"/>
      <c r="J24" s="73" t="s">
        <v>34</v>
      </c>
      <c r="K24" s="74"/>
      <c r="L24" s="75"/>
      <c r="M24" s="73" t="s">
        <v>27</v>
      </c>
      <c r="N24" s="74"/>
      <c r="O24" s="74"/>
      <c r="P24" s="75"/>
      <c r="Q24" s="28">
        <v>9.39</v>
      </c>
      <c r="R24" s="24">
        <v>24.99</v>
      </c>
      <c r="S24" s="21">
        <v>36</v>
      </c>
      <c r="T24" s="38">
        <f t="shared" ref="T24" si="6">Q24*S24</f>
        <v>338.04</v>
      </c>
      <c r="U24" s="39"/>
    </row>
    <row r="25" spans="2:21" ht="3" customHeight="1" x14ac:dyDescent="0.25">
      <c r="B25" s="16"/>
      <c r="C25" s="1"/>
      <c r="D25" s="4"/>
      <c r="E25" s="4"/>
      <c r="F25" s="40"/>
      <c r="G25" s="41"/>
      <c r="H25" s="41"/>
      <c r="I25" s="42"/>
      <c r="J25" s="40"/>
      <c r="K25" s="41"/>
      <c r="L25" s="42"/>
      <c r="M25" s="40"/>
      <c r="N25" s="41"/>
      <c r="O25" s="41"/>
      <c r="P25" s="42"/>
      <c r="Q25" s="20"/>
      <c r="R25" s="25"/>
      <c r="S25" s="21"/>
      <c r="T25" s="38"/>
      <c r="U25" s="39"/>
    </row>
    <row r="26" spans="2:21" ht="49.9" customHeight="1" x14ac:dyDescent="0.25">
      <c r="B26" s="16"/>
      <c r="C26" s="1" t="s">
        <v>45</v>
      </c>
      <c r="D26" s="5">
        <v>100</v>
      </c>
      <c r="E26" s="4" t="s">
        <v>29</v>
      </c>
      <c r="F26" s="40" t="s">
        <v>30</v>
      </c>
      <c r="G26" s="41"/>
      <c r="H26" s="41"/>
      <c r="I26" s="42"/>
      <c r="J26" s="73" t="s">
        <v>35</v>
      </c>
      <c r="K26" s="74"/>
      <c r="L26" s="75"/>
      <c r="M26" s="73" t="s">
        <v>27</v>
      </c>
      <c r="N26" s="74"/>
      <c r="O26" s="74"/>
      <c r="P26" s="75"/>
      <c r="Q26" s="28">
        <v>9.39</v>
      </c>
      <c r="R26" s="24">
        <v>24.99</v>
      </c>
      <c r="S26" s="21">
        <v>36</v>
      </c>
      <c r="T26" s="38">
        <f t="shared" ref="T26:T28" si="7">Q26*S26</f>
        <v>338.04</v>
      </c>
      <c r="U26" s="39"/>
    </row>
    <row r="27" spans="2:21" ht="3" customHeight="1" x14ac:dyDescent="0.25">
      <c r="B27" s="16"/>
      <c r="C27" s="1"/>
      <c r="D27" s="4"/>
      <c r="E27" s="4"/>
      <c r="F27" s="40"/>
      <c r="G27" s="41"/>
      <c r="H27" s="41"/>
      <c r="I27" s="42"/>
      <c r="J27" s="40"/>
      <c r="K27" s="41"/>
      <c r="L27" s="42"/>
      <c r="M27" s="40"/>
      <c r="N27" s="41"/>
      <c r="O27" s="41"/>
      <c r="P27" s="42"/>
      <c r="Q27" s="20"/>
      <c r="R27" s="25"/>
      <c r="S27" s="21"/>
      <c r="T27" s="38"/>
      <c r="U27" s="39"/>
    </row>
    <row r="28" spans="2:21" ht="49.9" customHeight="1" x14ac:dyDescent="0.25">
      <c r="B28" s="16"/>
      <c r="C28" s="1" t="s">
        <v>46</v>
      </c>
      <c r="D28" s="5">
        <v>100</v>
      </c>
      <c r="E28" s="4" t="s">
        <v>29</v>
      </c>
      <c r="F28" s="40" t="s">
        <v>30</v>
      </c>
      <c r="G28" s="41"/>
      <c r="H28" s="41"/>
      <c r="I28" s="42"/>
      <c r="J28" s="73" t="s">
        <v>36</v>
      </c>
      <c r="K28" s="74"/>
      <c r="L28" s="75"/>
      <c r="M28" s="73" t="s">
        <v>27</v>
      </c>
      <c r="N28" s="74"/>
      <c r="O28" s="74"/>
      <c r="P28" s="75"/>
      <c r="Q28" s="28">
        <v>9.39</v>
      </c>
      <c r="R28" s="24">
        <v>24.99</v>
      </c>
      <c r="S28" s="21">
        <v>36</v>
      </c>
      <c r="T28" s="38">
        <f t="shared" si="7"/>
        <v>338.04</v>
      </c>
      <c r="U28" s="39"/>
    </row>
    <row r="29" spans="2:21" ht="3" customHeight="1" x14ac:dyDescent="0.25">
      <c r="B29" s="16"/>
      <c r="C29" s="1"/>
      <c r="D29" s="4"/>
      <c r="E29" s="4"/>
      <c r="F29" s="40"/>
      <c r="G29" s="41"/>
      <c r="H29" s="41"/>
      <c r="I29" s="42"/>
      <c r="J29" s="40"/>
      <c r="K29" s="41"/>
      <c r="L29" s="42"/>
      <c r="M29" s="40"/>
      <c r="N29" s="41"/>
      <c r="O29" s="41"/>
      <c r="P29" s="42"/>
      <c r="Q29" s="20"/>
      <c r="R29" s="25"/>
      <c r="S29" s="21"/>
      <c r="T29" s="38"/>
      <c r="U29" s="39"/>
    </row>
    <row r="30" spans="2:21" x14ac:dyDescent="0.25">
      <c r="B30" s="79"/>
      <c r="C30" s="80"/>
      <c r="D30" s="81"/>
      <c r="E30" s="17"/>
      <c r="F30" s="84"/>
      <c r="G30" s="80"/>
      <c r="H30" s="80"/>
      <c r="I30" s="81"/>
      <c r="J30" s="84"/>
      <c r="K30" s="80"/>
      <c r="L30" s="81"/>
      <c r="M30" s="84"/>
      <c r="N30" s="80"/>
      <c r="O30" s="80"/>
      <c r="P30" s="81"/>
      <c r="Q30" s="18"/>
      <c r="R30" s="18"/>
      <c r="S30" s="29">
        <f>SUM(S12:S29)</f>
        <v>324</v>
      </c>
      <c r="T30" s="82">
        <f>SUM(T12:U29)</f>
        <v>2977.56</v>
      </c>
      <c r="U30" s="83"/>
    </row>
    <row r="31" spans="2:21" ht="9" customHeight="1" thickBot="1" x14ac:dyDescent="0.3">
      <c r="B31" s="76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8"/>
    </row>
    <row r="33" spans="20:20" x14ac:dyDescent="0.25">
      <c r="T33" s="19"/>
    </row>
  </sheetData>
  <mergeCells count="113">
    <mergeCell ref="F28:I28"/>
    <mergeCell ref="J28:L28"/>
    <mergeCell ref="M28:P28"/>
    <mergeCell ref="F25:I25"/>
    <mergeCell ref="J25:L25"/>
    <mergeCell ref="M25:P25"/>
    <mergeCell ref="F27:I27"/>
    <mergeCell ref="J27:L27"/>
    <mergeCell ref="M27:P27"/>
    <mergeCell ref="F24:I24"/>
    <mergeCell ref="J24:L24"/>
    <mergeCell ref="M24:P24"/>
    <mergeCell ref="F26:I26"/>
    <mergeCell ref="J26:L26"/>
    <mergeCell ref="M26:P26"/>
    <mergeCell ref="F23:I23"/>
    <mergeCell ref="J23:L23"/>
    <mergeCell ref="M23:P23"/>
    <mergeCell ref="F20:I20"/>
    <mergeCell ref="F22:I22"/>
    <mergeCell ref="F29:I29"/>
    <mergeCell ref="J29:L29"/>
    <mergeCell ref="M29:P29"/>
    <mergeCell ref="T19:U19"/>
    <mergeCell ref="T20:U20"/>
    <mergeCell ref="T21:U21"/>
    <mergeCell ref="F19:I19"/>
    <mergeCell ref="J19:L19"/>
    <mergeCell ref="M19:P19"/>
    <mergeCell ref="J20:L20"/>
    <mergeCell ref="M20:P20"/>
    <mergeCell ref="F17:I17"/>
    <mergeCell ref="J17:L17"/>
    <mergeCell ref="M17:P17"/>
    <mergeCell ref="T17:U17"/>
    <mergeCell ref="T13:U13"/>
    <mergeCell ref="F14:I14"/>
    <mergeCell ref="M14:P14"/>
    <mergeCell ref="J14:L14"/>
    <mergeCell ref="T14:U14"/>
    <mergeCell ref="T25:U25"/>
    <mergeCell ref="T26:U26"/>
    <mergeCell ref="T27:U27"/>
    <mergeCell ref="T28:U28"/>
    <mergeCell ref="J21:L21"/>
    <mergeCell ref="M21:P21"/>
    <mergeCell ref="T23:U23"/>
    <mergeCell ref="T24:U24"/>
    <mergeCell ref="B31:U31"/>
    <mergeCell ref="B30:D30"/>
    <mergeCell ref="T30:U30"/>
    <mergeCell ref="M30:P30"/>
    <mergeCell ref="F30:I30"/>
    <mergeCell ref="J30:L30"/>
    <mergeCell ref="F18:I18"/>
    <mergeCell ref="M18:P18"/>
    <mergeCell ref="T18:U18"/>
    <mergeCell ref="F21:I21"/>
    <mergeCell ref="J18:L18"/>
    <mergeCell ref="J22:L22"/>
    <mergeCell ref="M22:P22"/>
    <mergeCell ref="T22:U22"/>
    <mergeCell ref="T16:U16"/>
    <mergeCell ref="T15:U15"/>
    <mergeCell ref="J15:L15"/>
    <mergeCell ref="M15:P15"/>
    <mergeCell ref="M10:P10"/>
    <mergeCell ref="M12:P12"/>
    <mergeCell ref="M11:P11"/>
    <mergeCell ref="J12:L12"/>
    <mergeCell ref="F15:I15"/>
    <mergeCell ref="F16:I16"/>
    <mergeCell ref="J16:L16"/>
    <mergeCell ref="M16:P16"/>
    <mergeCell ref="F13:I13"/>
    <mergeCell ref="J13:L13"/>
    <mergeCell ref="M13:P13"/>
    <mergeCell ref="K6:M6"/>
    <mergeCell ref="C6:E6"/>
    <mergeCell ref="D8:E8"/>
    <mergeCell ref="F10:I10"/>
    <mergeCell ref="F12:I12"/>
    <mergeCell ref="J10:L10"/>
    <mergeCell ref="T11:U11"/>
    <mergeCell ref="I8:Q8"/>
    <mergeCell ref="T12:U12"/>
    <mergeCell ref="F8:H8"/>
    <mergeCell ref="D7:F7"/>
    <mergeCell ref="G7:H7"/>
    <mergeCell ref="B7:C7"/>
    <mergeCell ref="B2:U2"/>
    <mergeCell ref="B8:C8"/>
    <mergeCell ref="C9:U9"/>
    <mergeCell ref="T29:U29"/>
    <mergeCell ref="F11:I11"/>
    <mergeCell ref="J11:L11"/>
    <mergeCell ref="I3:J3"/>
    <mergeCell ref="C3:H3"/>
    <mergeCell ref="K3:Q3"/>
    <mergeCell ref="S3:U3"/>
    <mergeCell ref="C4:E4"/>
    <mergeCell ref="F4:H4"/>
    <mergeCell ref="I4:Q4"/>
    <mergeCell ref="S4:U4"/>
    <mergeCell ref="C5:Q5"/>
    <mergeCell ref="T10:U10"/>
    <mergeCell ref="S8:U8"/>
    <mergeCell ref="S5:U5"/>
    <mergeCell ref="G6:H6"/>
    <mergeCell ref="O6:U6"/>
    <mergeCell ref="I7:K7"/>
    <mergeCell ref="L7:U7"/>
    <mergeCell ref="I6:J6"/>
  </mergeCells>
  <phoneticPr fontId="1" type="noConversion"/>
  <hyperlinks>
    <hyperlink ref="D7" r:id="rId1" xr:uid="{00000000-0004-0000-0000-000000000000}"/>
    <hyperlink ref="S5" r:id="rId2" xr:uid="{00000000-0004-0000-0000-000001000000}"/>
  </hyperlinks>
  <pageMargins left="0.511811024" right="0.511811024" top="0.78740157499999996" bottom="0.78740157499999996" header="0.31496062000000002" footer="0.31496062000000002"/>
  <pageSetup paperSize="9" scale="73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Grazielly Gomes Araujo</cp:lastModifiedBy>
  <cp:lastPrinted>2018-12-06T16:46:30Z</cp:lastPrinted>
  <dcterms:created xsi:type="dcterms:W3CDTF">2010-08-02T13:51:18Z</dcterms:created>
  <dcterms:modified xsi:type="dcterms:W3CDTF">2026-06-03T17:30:50Z</dcterms:modified>
</cp:coreProperties>
</file>