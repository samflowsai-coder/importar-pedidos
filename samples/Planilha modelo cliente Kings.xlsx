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mila.baccan\AppData\Local\Microsoft\Olk\Attachments\ooa-8b18a3cf-eae9-4e9d-bf0a-057d8ee0d690\3755dab3c06bc124e82b1419ebeaa94c5abdd1fcb80a56ed7532c8b699395a16\"/>
    </mc:Choice>
  </mc:AlternateContent>
  <xr:revisionPtr revIDLastSave="0" documentId="13_ncr:1_{59C4FE2A-1B03-46C0-B651-F1C9ABA6C3BE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1" sheetId="3" r:id="rId1"/>
  </sheets>
  <definedNames>
    <definedName name="_xlnm._FilterDatabase" localSheetId="0" hidden="1">'1'!$B$11:$U$40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" i="3" l="1"/>
  <c r="T21" i="3" s="1"/>
  <c r="Q20" i="3"/>
  <c r="T20" i="3" s="1"/>
  <c r="Q19" i="3"/>
  <c r="T19" i="3" s="1"/>
  <c r="Q18" i="3"/>
  <c r="T18" i="3" s="1"/>
  <c r="Q17" i="3"/>
  <c r="T17" i="3" s="1"/>
  <c r="Q16" i="3"/>
  <c r="T16" i="3" s="1"/>
  <c r="T12" i="3"/>
  <c r="T13" i="3"/>
  <c r="T14" i="3"/>
  <c r="T15" i="3"/>
  <c r="T22" i="3"/>
  <c r="T39" i="3"/>
  <c r="T31" i="3"/>
  <c r="T33" i="3"/>
  <c r="T27" i="3"/>
  <c r="T29" i="3"/>
  <c r="T37" i="3"/>
  <c r="T36" i="3"/>
  <c r="T30" i="3"/>
  <c r="T38" i="3"/>
  <c r="T34" i="3"/>
  <c r="T35" i="3"/>
  <c r="T32" i="3"/>
  <c r="T28" i="3"/>
  <c r="T23" i="3" l="1"/>
  <c r="S40" i="3" l="1"/>
  <c r="T24" i="3"/>
  <c r="T25" i="3"/>
  <c r="T26" i="3"/>
  <c r="T40" i="3" l="1"/>
</calcChain>
</file>

<file path=xl/sharedStrings.xml><?xml version="1.0" encoding="utf-8"?>
<sst xmlns="http://schemas.openxmlformats.org/spreadsheetml/2006/main" count="199" uniqueCount="56">
  <si>
    <t>CUSTO</t>
  </si>
  <si>
    <t>CONTATO FINANCEIRO:</t>
  </si>
  <si>
    <t xml:space="preserve">CONTATO: </t>
  </si>
  <si>
    <t xml:space="preserve">CNPJ: </t>
  </si>
  <si>
    <t xml:space="preserve">ENDEREÇO:  </t>
  </si>
  <si>
    <t xml:space="preserve">CIDADE:  </t>
  </si>
  <si>
    <t xml:space="preserve">UF: </t>
  </si>
  <si>
    <t>FANTASIA:</t>
  </si>
  <si>
    <t>DATA DO PEDIDO:</t>
  </si>
  <si>
    <t>TELEFONE:</t>
  </si>
  <si>
    <t>CEP:</t>
  </si>
  <si>
    <t xml:space="preserve">E-MAIL PARA NFE: </t>
  </si>
  <si>
    <t>BAIRRO:</t>
  </si>
  <si>
    <t xml:space="preserve">DATA DE FATURAMENTO: </t>
  </si>
  <si>
    <t>E-MAIL COMPRAS:</t>
  </si>
  <si>
    <t xml:space="preserve">OBSERVAÇÃO: </t>
  </si>
  <si>
    <t>IMAGEM</t>
  </si>
  <si>
    <t>REF.</t>
  </si>
  <si>
    <t>REF COR</t>
  </si>
  <si>
    <t xml:space="preserve">RAZÃO SOCIAL:  </t>
  </si>
  <si>
    <t xml:space="preserve">INSC. ESTADUAL:  </t>
  </si>
  <si>
    <t xml:space="preserve">COND. DE PGTO. : </t>
  </si>
  <si>
    <t>SUGESTÃO</t>
  </si>
  <si>
    <t>TOTAL R$</t>
  </si>
  <si>
    <t>001</t>
  </si>
  <si>
    <t>002</t>
  </si>
  <si>
    <t>003</t>
  </si>
  <si>
    <t>Branco</t>
  </si>
  <si>
    <t>Preto</t>
  </si>
  <si>
    <t>Sortido (Branco, Mescla, Preto)</t>
  </si>
  <si>
    <t>DESCRIÇÃO COR</t>
  </si>
  <si>
    <t>DESCRIÇÃO PRODUTO</t>
  </si>
  <si>
    <t>TAMANHOS</t>
  </si>
  <si>
    <t>39 - 44</t>
  </si>
  <si>
    <t>OBS</t>
  </si>
  <si>
    <t>KG 01</t>
  </si>
  <si>
    <t>KG 02</t>
  </si>
  <si>
    <t>KG 03</t>
  </si>
  <si>
    <t>KG 04</t>
  </si>
  <si>
    <t>KG 05</t>
  </si>
  <si>
    <t>KG 06</t>
  </si>
  <si>
    <t>TOTAL Kits</t>
  </si>
  <si>
    <t>Produto atoalhado</t>
  </si>
  <si>
    <t>Produto sem toalha com silicone</t>
  </si>
  <si>
    <t>Ordem de compra:</t>
  </si>
  <si>
    <t>KG 07</t>
  </si>
  <si>
    <t>KG 08</t>
  </si>
  <si>
    <t>KG 10</t>
  </si>
  <si>
    <t>KG 11</t>
  </si>
  <si>
    <t>34 - 38</t>
  </si>
  <si>
    <t>KIT INVISIVEL KINGS - 3 PARES (SILICONE)</t>
  </si>
  <si>
    <t>KIT CANO MEDIO KINGS - 3 PARES</t>
  </si>
  <si>
    <t>KIT CANO ALTO KINGS - 3 PARES</t>
  </si>
  <si>
    <t>KIT CANO BAIXO KINGS -  3 PARES</t>
  </si>
  <si>
    <t>60D</t>
  </si>
  <si>
    <t>KIT CANO BAIXO KINGS -  6 PARES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</si>
</sst>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0.000"/>
    <numFmt numFmtId="166" formatCode="_-[$R$-416]\ * #,##0.00_-;\-[$R$-416]\ * #,##0.00_-;_-[$R$-416]\ * &quot;-&quot;??_-;_-@_-"/>
  </numFmts>
  <fonts count="13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b/>
      <sz val="48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</font>
    <font>
      <b/>
      <sz val="10"/>
      <color rgb="FF0070C0"/>
      <name val="Calibri"/>
      <family val="2"/>
    </font>
    <font>
      <u/>
      <sz val="11"/>
      <color theme="10"/>
      <name val="Calibri"/>
      <family val="2"/>
      <scheme val="minor"/>
    </font>
    <font>
      <b/>
      <u/>
      <sz val="12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 (Corpo)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43" fontId="0" fillId="0" borderId="0" xfId="0" applyNumberForma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0" fontId="8" fillId="2" borderId="23" xfId="0" applyFont="1" applyFill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left" wrapText="1"/>
    </xf>
    <xf numFmtId="0" fontId="12" fillId="3" borderId="15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3" fontId="11" fillId="2" borderId="13" xfId="0" applyNumberFormat="1" applyFont="1" applyFill="1" applyBorder="1" applyAlignment="1">
      <alignment horizontal="center" vertical="center" wrapText="1"/>
    </xf>
    <xf numFmtId="0" fontId="0" fillId="2" borderId="13" xfId="0" applyFill="1" applyBorder="1" applyAlignment="1" applyProtection="1">
      <alignment horizontal="center" vertical="center" wrapText="1"/>
      <protection locked="0"/>
    </xf>
    <xf numFmtId="49" fontId="0" fillId="2" borderId="13" xfId="0" applyNumberFormat="1" applyFill="1" applyBorder="1" applyAlignment="1" applyProtection="1">
      <alignment horizontal="center" vertical="center" wrapText="1"/>
      <protection locked="0"/>
    </xf>
    <xf numFmtId="166" fontId="0" fillId="2" borderId="13" xfId="0" applyNumberFormat="1" applyFill="1" applyBorder="1" applyAlignment="1">
      <alignment horizontal="center" vertical="center" wrapText="1"/>
    </xf>
    <xf numFmtId="166" fontId="0" fillId="2" borderId="13" xfId="0" applyNumberFormat="1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49" fontId="0" fillId="2" borderId="1" xfId="0" applyNumberFormat="1" applyFill="1" applyBorder="1" applyAlignment="1" applyProtection="1">
      <alignment horizontal="center" vertical="center" wrapText="1"/>
      <protection locked="0"/>
    </xf>
    <xf numFmtId="166" fontId="0" fillId="2" borderId="1" xfId="0" applyNumberFormat="1" applyFill="1" applyBorder="1" applyAlignment="1" applyProtection="1">
      <alignment horizontal="center" vertical="center" wrapText="1"/>
      <protection locked="0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5" fontId="0" fillId="2" borderId="0" xfId="0" applyNumberFormat="1" applyFill="1" applyAlignment="1">
      <alignment horizontal="center" vertical="center" wrapText="1"/>
    </xf>
    <xf numFmtId="166" fontId="0" fillId="2" borderId="1" xfId="0" applyNumberForma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49" fontId="12" fillId="3" borderId="32" xfId="0" applyNumberFormat="1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0" fillId="4" borderId="1" xfId="0" applyFill="1" applyBorder="1" applyAlignment="1" applyProtection="1">
      <alignment horizontal="center" vertical="center" wrapText="1"/>
      <protection locked="0"/>
    </xf>
    <xf numFmtId="49" fontId="0" fillId="4" borderId="1" xfId="0" applyNumberFormat="1" applyFill="1" applyBorder="1" applyAlignment="1" applyProtection="1">
      <alignment horizontal="center" vertical="center" wrapText="1"/>
      <protection locked="0"/>
    </xf>
    <xf numFmtId="166" fontId="0" fillId="4" borderId="1" xfId="0" applyNumberFormat="1" applyFill="1" applyBorder="1" applyAlignment="1">
      <alignment horizontal="center" vertical="center" wrapText="1"/>
    </xf>
    <xf numFmtId="166" fontId="0" fillId="4" borderId="1" xfId="0" applyNumberFormat="1" applyFill="1" applyBorder="1" applyAlignment="1" applyProtection="1">
      <alignment horizontal="center" vertical="center" wrapText="1"/>
      <protection locked="0"/>
    </xf>
    <xf numFmtId="3" fontId="11" fillId="4" borderId="13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2" fontId="0" fillId="4" borderId="0" xfId="0" applyNumberFormat="1" applyFill="1" applyAlignment="1">
      <alignment horizontal="center" vertical="center" wrapText="1"/>
    </xf>
    <xf numFmtId="0" fontId="0" fillId="4" borderId="13" xfId="0" applyFill="1" applyBorder="1" applyAlignment="1" applyProtection="1">
      <alignment horizontal="center" vertical="center" wrapText="1"/>
      <protection locked="0"/>
    </xf>
    <xf numFmtId="49" fontId="0" fillId="4" borderId="13" xfId="0" applyNumberFormat="1" applyFill="1" applyBorder="1" applyAlignment="1" applyProtection="1">
      <alignment horizontal="center" vertical="center" wrapText="1"/>
      <protection locked="0"/>
    </xf>
    <xf numFmtId="166" fontId="0" fillId="4" borderId="13" xfId="0" applyNumberFormat="1" applyFill="1" applyBorder="1" applyAlignment="1">
      <alignment horizontal="center" vertical="center" wrapText="1"/>
    </xf>
    <xf numFmtId="166" fontId="0" fillId="4" borderId="13" xfId="0" applyNumberFormat="1" applyFill="1" applyBorder="1" applyAlignment="1" applyProtection="1">
      <alignment horizontal="center" vertical="center" wrapText="1"/>
      <protection locked="0"/>
    </xf>
    <xf numFmtId="3" fontId="11" fillId="4" borderId="1" xfId="0" applyNumberFormat="1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64" fontId="11" fillId="4" borderId="3" xfId="1" applyFont="1" applyFill="1" applyBorder="1" applyAlignment="1">
      <alignment horizontal="center" vertical="center" wrapText="1"/>
    </xf>
    <xf numFmtId="164" fontId="11" fillId="4" borderId="8" xfId="1" applyFont="1" applyFill="1" applyBorder="1" applyAlignment="1">
      <alignment horizontal="center" vertical="center" wrapText="1"/>
    </xf>
    <xf numFmtId="164" fontId="11" fillId="4" borderId="1" xfId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164" fontId="11" fillId="2" borderId="1" xfId="1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164" fontId="12" fillId="3" borderId="33" xfId="1" applyFont="1" applyFill="1" applyBorder="1" applyAlignment="1">
      <alignment horizontal="center" vertical="center" wrapText="1"/>
    </xf>
    <xf numFmtId="164" fontId="12" fillId="3" borderId="34" xfId="1" applyFont="1" applyFill="1" applyBorder="1" applyAlignment="1">
      <alignment horizontal="center" vertical="center" wrapText="1"/>
    </xf>
    <xf numFmtId="164" fontId="12" fillId="3" borderId="35" xfId="1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center" vertical="center" wrapText="1"/>
    </xf>
    <xf numFmtId="0" fontId="11" fillId="4" borderId="24" xfId="0" applyFont="1" applyFill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center" vertical="center" wrapText="1"/>
    </xf>
    <xf numFmtId="164" fontId="11" fillId="2" borderId="3" xfId="1" applyFont="1" applyFill="1" applyBorder="1" applyAlignment="1">
      <alignment horizontal="center" vertical="center" wrapText="1"/>
    </xf>
    <xf numFmtId="164" fontId="11" fillId="2" borderId="8" xfId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164" fontId="4" fillId="2" borderId="3" xfId="1" applyFont="1" applyFill="1" applyBorder="1" applyAlignment="1">
      <alignment horizontal="center" vertical="center" wrapText="1"/>
    </xf>
    <xf numFmtId="164" fontId="4" fillId="2" borderId="8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3" fontId="8" fillId="0" borderId="3" xfId="0" applyNumberFormat="1" applyFont="1" applyBorder="1" applyAlignment="1">
      <alignment horizontal="center" vertical="center" wrapText="1"/>
    </xf>
    <xf numFmtId="3" fontId="8" fillId="0" borderId="14" xfId="0" applyNumberFormat="1" applyFont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0" fontId="9" fillId="0" borderId="3" xfId="2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D24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129115</xdr:colOff>
      <xdr:row>1</xdr:row>
      <xdr:rowOff>55034</xdr:rowOff>
    </xdr:from>
    <xdr:to>
      <xdr:col>19</xdr:col>
      <xdr:colOff>699050</xdr:colOff>
      <xdr:row>1</xdr:row>
      <xdr:rowOff>838111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F6497A9-0747-41F7-B45B-B6F88C256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16415" y="194734"/>
          <a:ext cx="2015067" cy="783077"/>
        </a:xfrm>
        <a:prstGeom prst="rect">
          <a:avLst/>
        </a:prstGeom>
      </xdr:spPr>
    </xdr:pic>
    <xdr:clientData/>
  </xdr:twoCellAnchor>
  <xdr:twoCellAnchor editAs="oneCell">
    <xdr:from>
      <xdr:col>1</xdr:col>
      <xdr:colOff>186267</xdr:colOff>
      <xdr:row>1</xdr:row>
      <xdr:rowOff>32455</xdr:rowOff>
    </xdr:from>
    <xdr:to>
      <xdr:col>3</xdr:col>
      <xdr:colOff>609600</xdr:colOff>
      <xdr:row>1</xdr:row>
      <xdr:rowOff>809862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B0EAB52-2B4B-6B48-14A1-761D9D884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4867" y="172155"/>
          <a:ext cx="2099733" cy="777407"/>
        </a:xfrm>
        <a:prstGeom prst="rect">
          <a:avLst/>
        </a:prstGeom>
      </xdr:spPr>
    </xdr:pic>
    <xdr:clientData/>
  </xdr:twoCellAnchor>
  <xdr:twoCellAnchor editAs="oneCell">
    <xdr:from>
      <xdr:col>1</xdr:col>
      <xdr:colOff>203200</xdr:colOff>
      <xdr:row>27</xdr:row>
      <xdr:rowOff>76199</xdr:rowOff>
    </xdr:from>
    <xdr:to>
      <xdr:col>1</xdr:col>
      <xdr:colOff>797200</xdr:colOff>
      <xdr:row>27</xdr:row>
      <xdr:rowOff>605399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45B7A55-0EA5-A5A4-0965-A51D94ED86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40267" y="6527799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203200</xdr:colOff>
      <xdr:row>28</xdr:row>
      <xdr:rowOff>59266</xdr:rowOff>
    </xdr:from>
    <xdr:to>
      <xdr:col>1</xdr:col>
      <xdr:colOff>797200</xdr:colOff>
      <xdr:row>28</xdr:row>
      <xdr:rowOff>588466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5E1F070-F602-CDC7-4D16-57F03E58F5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40267" y="7154333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203200</xdr:colOff>
      <xdr:row>30</xdr:row>
      <xdr:rowOff>67734</xdr:rowOff>
    </xdr:from>
    <xdr:to>
      <xdr:col>1</xdr:col>
      <xdr:colOff>797200</xdr:colOff>
      <xdr:row>30</xdr:row>
      <xdr:rowOff>596934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4F8D80F0-04F0-1449-BC3D-2114E912BE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40267" y="8449734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203200</xdr:colOff>
      <xdr:row>31</xdr:row>
      <xdr:rowOff>50801</xdr:rowOff>
    </xdr:from>
    <xdr:to>
      <xdr:col>1</xdr:col>
      <xdr:colOff>797200</xdr:colOff>
      <xdr:row>31</xdr:row>
      <xdr:rowOff>580001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6FA138B9-83A2-7C4F-A65F-AA5454A333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40267" y="9076268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203200</xdr:colOff>
      <xdr:row>29</xdr:row>
      <xdr:rowOff>50800</xdr:rowOff>
    </xdr:from>
    <xdr:to>
      <xdr:col>1</xdr:col>
      <xdr:colOff>797200</xdr:colOff>
      <xdr:row>29</xdr:row>
      <xdr:rowOff>580000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D1E499CE-7FD3-CB9F-2119-D4B283BC4E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40267" y="7789333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203200</xdr:colOff>
      <xdr:row>32</xdr:row>
      <xdr:rowOff>67733</xdr:rowOff>
    </xdr:from>
    <xdr:to>
      <xdr:col>1</xdr:col>
      <xdr:colOff>797200</xdr:colOff>
      <xdr:row>32</xdr:row>
      <xdr:rowOff>596933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E0C7179A-F0A4-924F-B57E-622718B06F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40267" y="9736666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203200</xdr:colOff>
      <xdr:row>33</xdr:row>
      <xdr:rowOff>67733</xdr:rowOff>
    </xdr:from>
    <xdr:to>
      <xdr:col>1</xdr:col>
      <xdr:colOff>797200</xdr:colOff>
      <xdr:row>33</xdr:row>
      <xdr:rowOff>596933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56DBFB7D-E4CE-254A-B8F0-9344DC875D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40267" y="10380133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203200</xdr:colOff>
      <xdr:row>34</xdr:row>
      <xdr:rowOff>50800</xdr:rowOff>
    </xdr:from>
    <xdr:to>
      <xdr:col>1</xdr:col>
      <xdr:colOff>797200</xdr:colOff>
      <xdr:row>34</xdr:row>
      <xdr:rowOff>580000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F0EB548-FADD-2741-99D0-8B03036EA5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40267" y="11006667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203200</xdr:colOff>
      <xdr:row>36</xdr:row>
      <xdr:rowOff>59268</xdr:rowOff>
    </xdr:from>
    <xdr:to>
      <xdr:col>1</xdr:col>
      <xdr:colOff>797200</xdr:colOff>
      <xdr:row>36</xdr:row>
      <xdr:rowOff>588468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F3918B84-7EA6-6F42-852E-6E5E048C28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40267" y="12302068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203200</xdr:colOff>
      <xdr:row>37</xdr:row>
      <xdr:rowOff>42335</xdr:rowOff>
    </xdr:from>
    <xdr:to>
      <xdr:col>1</xdr:col>
      <xdr:colOff>797200</xdr:colOff>
      <xdr:row>37</xdr:row>
      <xdr:rowOff>571535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8C3B7C83-29BF-214C-BF12-6FFFE168FC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40267" y="12928602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203200</xdr:colOff>
      <xdr:row>35</xdr:row>
      <xdr:rowOff>42334</xdr:rowOff>
    </xdr:from>
    <xdr:to>
      <xdr:col>1</xdr:col>
      <xdr:colOff>797200</xdr:colOff>
      <xdr:row>35</xdr:row>
      <xdr:rowOff>571534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4F34F1F2-2A0E-9F48-BDFA-436AF9727A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40267" y="11641667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203200</xdr:colOff>
      <xdr:row>38</xdr:row>
      <xdr:rowOff>59267</xdr:rowOff>
    </xdr:from>
    <xdr:to>
      <xdr:col>1</xdr:col>
      <xdr:colOff>797200</xdr:colOff>
      <xdr:row>38</xdr:row>
      <xdr:rowOff>588467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726E1FBE-7BC3-D645-AF59-70AA59C591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40267" y="13589000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232834</xdr:colOff>
      <xdr:row>21</xdr:row>
      <xdr:rowOff>55033</xdr:rowOff>
    </xdr:from>
    <xdr:to>
      <xdr:col>1</xdr:col>
      <xdr:colOff>826834</xdr:colOff>
      <xdr:row>21</xdr:row>
      <xdr:rowOff>584233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280368BA-B5F8-8D2E-3AD7-798CBB5807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61434" y="5300133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220133</xdr:colOff>
      <xdr:row>22</xdr:row>
      <xdr:rowOff>76200</xdr:rowOff>
    </xdr:from>
    <xdr:to>
      <xdr:col>1</xdr:col>
      <xdr:colOff>814133</xdr:colOff>
      <xdr:row>22</xdr:row>
      <xdr:rowOff>605400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235F5A6D-06FD-FB5B-7C9A-910BCA0864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57200" y="3310467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237066</xdr:colOff>
      <xdr:row>23</xdr:row>
      <xdr:rowOff>67733</xdr:rowOff>
    </xdr:from>
    <xdr:to>
      <xdr:col>1</xdr:col>
      <xdr:colOff>831066</xdr:colOff>
      <xdr:row>23</xdr:row>
      <xdr:rowOff>596933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5F50ACDB-7E61-5B3F-6825-04D8692E20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4133" y="3945466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203201</xdr:colOff>
      <xdr:row>24</xdr:row>
      <xdr:rowOff>67733</xdr:rowOff>
    </xdr:from>
    <xdr:to>
      <xdr:col>1</xdr:col>
      <xdr:colOff>797201</xdr:colOff>
      <xdr:row>24</xdr:row>
      <xdr:rowOff>596933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B6664D63-7CA8-FA49-8618-25B3BAAEA5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40268" y="4588933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203200</xdr:colOff>
      <xdr:row>25</xdr:row>
      <xdr:rowOff>76200</xdr:rowOff>
    </xdr:from>
    <xdr:to>
      <xdr:col>1</xdr:col>
      <xdr:colOff>797200</xdr:colOff>
      <xdr:row>25</xdr:row>
      <xdr:rowOff>605400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38DFE3C1-5455-1746-935E-6588AE62F9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40267" y="5240867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220133</xdr:colOff>
      <xdr:row>26</xdr:row>
      <xdr:rowOff>67733</xdr:rowOff>
    </xdr:from>
    <xdr:to>
      <xdr:col>1</xdr:col>
      <xdr:colOff>814133</xdr:colOff>
      <xdr:row>26</xdr:row>
      <xdr:rowOff>596933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78F9B6FE-9C6C-B14A-AE93-8504FEF864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57200" y="5875866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101600</xdr:colOff>
      <xdr:row>13</xdr:row>
      <xdr:rowOff>38100</xdr:rowOff>
    </xdr:from>
    <xdr:to>
      <xdr:col>2</xdr:col>
      <xdr:colOff>2055</xdr:colOff>
      <xdr:row>14</xdr:row>
      <xdr:rowOff>1557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6852D7B8-8995-45D6-F48F-6FDD9F354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30200" y="4013200"/>
          <a:ext cx="863600" cy="586913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11</xdr:row>
      <xdr:rowOff>25400</xdr:rowOff>
    </xdr:from>
    <xdr:to>
      <xdr:col>2</xdr:col>
      <xdr:colOff>2055</xdr:colOff>
      <xdr:row>11</xdr:row>
      <xdr:rowOff>612313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76D1BA29-2449-0D4C-BE92-38F3ED5ED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2100" y="2730500"/>
          <a:ext cx="863600" cy="586913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12</xdr:row>
      <xdr:rowOff>25400</xdr:rowOff>
    </xdr:from>
    <xdr:to>
      <xdr:col>1</xdr:col>
      <xdr:colOff>892175</xdr:colOff>
      <xdr:row>12</xdr:row>
      <xdr:rowOff>594643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F2025B1B-9D32-255D-1037-12BDED425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7500" y="3365500"/>
          <a:ext cx="812800" cy="569243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14</xdr:row>
      <xdr:rowOff>38100</xdr:rowOff>
    </xdr:from>
    <xdr:to>
      <xdr:col>2</xdr:col>
      <xdr:colOff>0</xdr:colOff>
      <xdr:row>14</xdr:row>
      <xdr:rowOff>607343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F6645AFF-4DED-564D-A8BD-1037F98B7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30200" y="4648200"/>
          <a:ext cx="812800" cy="569243"/>
        </a:xfrm>
        <a:prstGeom prst="rect">
          <a:avLst/>
        </a:prstGeom>
      </xdr:spPr>
    </xdr:pic>
    <xdr:clientData/>
  </xdr:twoCellAnchor>
  <xdr:twoCellAnchor editAs="oneCell">
    <xdr:from>
      <xdr:col>1</xdr:col>
      <xdr:colOff>194734</xdr:colOff>
      <xdr:row>15</xdr:row>
      <xdr:rowOff>50800</xdr:rowOff>
    </xdr:from>
    <xdr:to>
      <xdr:col>1</xdr:col>
      <xdr:colOff>788734</xdr:colOff>
      <xdr:row>15</xdr:row>
      <xdr:rowOff>580000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63C7A59-4377-9348-AC77-333DB98902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3334" y="5295900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182033</xdr:colOff>
      <xdr:row>16</xdr:row>
      <xdr:rowOff>71967</xdr:rowOff>
    </xdr:from>
    <xdr:to>
      <xdr:col>1</xdr:col>
      <xdr:colOff>776033</xdr:colOff>
      <xdr:row>16</xdr:row>
      <xdr:rowOff>601167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8B586E22-8BC5-9B46-93B9-3DAB90B943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0633" y="5952067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198966</xdr:colOff>
      <xdr:row>17</xdr:row>
      <xdr:rowOff>63500</xdr:rowOff>
    </xdr:from>
    <xdr:to>
      <xdr:col>1</xdr:col>
      <xdr:colOff>792966</xdr:colOff>
      <xdr:row>17</xdr:row>
      <xdr:rowOff>592700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8E15476B-9EE7-0148-938A-477CE3D04F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7566" y="6578600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165101</xdr:colOff>
      <xdr:row>18</xdr:row>
      <xdr:rowOff>63500</xdr:rowOff>
    </xdr:from>
    <xdr:to>
      <xdr:col>1</xdr:col>
      <xdr:colOff>759101</xdr:colOff>
      <xdr:row>18</xdr:row>
      <xdr:rowOff>592700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AC7D0A04-4E89-DE4E-8976-5EE5AA896F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3701" y="7213600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165100</xdr:colOff>
      <xdr:row>19</xdr:row>
      <xdr:rowOff>71967</xdr:rowOff>
    </xdr:from>
    <xdr:to>
      <xdr:col>1</xdr:col>
      <xdr:colOff>759100</xdr:colOff>
      <xdr:row>19</xdr:row>
      <xdr:rowOff>601167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F3341D9E-9F29-5B4C-B777-9F2C12742A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3700" y="7857067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182033</xdr:colOff>
      <xdr:row>20</xdr:row>
      <xdr:rowOff>63500</xdr:rowOff>
    </xdr:from>
    <xdr:to>
      <xdr:col>1</xdr:col>
      <xdr:colOff>776033</xdr:colOff>
      <xdr:row>20</xdr:row>
      <xdr:rowOff>592700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55A7834F-5435-BA4E-A470-A17C3D92CE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0633" y="8483600"/>
          <a:ext cx="594000" cy="52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43"/>
  <sheetViews>
    <sheetView showGridLines="0" tabSelected="1" zoomScaleNormal="100" workbookViewId="0">
      <pane xSplit="22" ySplit="11" topLeftCell="W12" activePane="bottomRight" state="frozen"/>
      <selection pane="topRight" activeCell="W1" sqref="W1"/>
      <selection pane="bottomLeft" activeCell="A11" sqref="A11"/>
      <selection pane="bottomRight" activeCell="AD22" sqref="AD22"/>
    </sheetView>
  </sheetViews>
  <sheetFormatPr defaultColWidth="8.85546875" defaultRowHeight="15" outlineLevelRow="1"/>
  <cols>
    <col min="1" max="1" width="3" style="1" customWidth="1"/>
    <col min="2" max="2" width="13.42578125" style="1" customWidth="1"/>
    <col min="3" max="3" width="8.42578125" style="1" customWidth="1"/>
    <col min="4" max="4" width="11.42578125" style="2" customWidth="1"/>
    <col min="5" max="5" width="24.28515625" style="2" customWidth="1"/>
    <col min="6" max="16" width="6.42578125" style="1" customWidth="1"/>
    <col min="17" max="17" width="13.7109375" style="1" customWidth="1"/>
    <col min="18" max="18" width="15.85546875" style="1" bestFit="1" customWidth="1"/>
    <col min="19" max="19" width="18.5703125" style="1" bestFit="1" customWidth="1"/>
    <col min="20" max="20" width="13.42578125" style="1" customWidth="1"/>
    <col min="21" max="21" width="3.42578125" style="1" customWidth="1"/>
    <col min="22" max="22" width="2.140625" style="1" customWidth="1"/>
    <col min="23" max="23" width="1.28515625" style="1" customWidth="1"/>
    <col min="24" max="16384" width="8.85546875" style="1"/>
  </cols>
  <sheetData>
    <row r="1" spans="2:23" ht="11.25" customHeight="1" thickBot="1"/>
    <row r="2" spans="2:23" ht="68.25" customHeight="1" thickBot="1">
      <c r="B2" s="70"/>
      <c r="C2" s="71"/>
      <c r="D2" s="72"/>
      <c r="E2" s="9" t="s">
        <v>44</v>
      </c>
      <c r="F2" s="62"/>
      <c r="G2" s="62"/>
      <c r="H2" s="62"/>
      <c r="I2" s="63"/>
      <c r="J2" s="7"/>
      <c r="K2" s="7"/>
      <c r="L2" s="7"/>
      <c r="M2" s="7"/>
      <c r="N2" s="7"/>
      <c r="O2" s="7"/>
      <c r="P2" s="7"/>
      <c r="Q2" s="7"/>
      <c r="R2" s="7"/>
      <c r="S2" s="59"/>
      <c r="T2" s="60"/>
      <c r="U2" s="61"/>
    </row>
    <row r="3" spans="2:23" ht="14.1" customHeight="1" outlineLevel="1">
      <c r="B3" s="103" t="s">
        <v>19</v>
      </c>
      <c r="C3" s="104"/>
      <c r="D3" s="105"/>
      <c r="E3" s="106"/>
      <c r="F3" s="106"/>
      <c r="G3" s="106"/>
      <c r="H3" s="104"/>
      <c r="I3" s="73" t="s">
        <v>7</v>
      </c>
      <c r="J3" s="74"/>
      <c r="K3" s="118"/>
      <c r="L3" s="118"/>
      <c r="M3" s="118"/>
      <c r="N3" s="118"/>
      <c r="O3" s="118"/>
      <c r="P3" s="118"/>
      <c r="Q3" s="118"/>
      <c r="R3" s="8" t="s">
        <v>2</v>
      </c>
      <c r="S3" s="100"/>
      <c r="T3" s="100"/>
      <c r="U3" s="101"/>
    </row>
    <row r="4" spans="2:23" ht="14.1" customHeight="1" outlineLevel="1">
      <c r="B4" s="107" t="s">
        <v>3</v>
      </c>
      <c r="C4" s="108"/>
      <c r="D4" s="68"/>
      <c r="E4" s="69"/>
      <c r="F4" s="69"/>
      <c r="G4" s="69"/>
      <c r="H4" s="108"/>
      <c r="I4" s="109" t="s">
        <v>20</v>
      </c>
      <c r="J4" s="110"/>
      <c r="K4" s="68"/>
      <c r="L4" s="69"/>
      <c r="M4" s="69"/>
      <c r="N4" s="69"/>
      <c r="O4" s="69"/>
      <c r="P4" s="69"/>
      <c r="Q4" s="108"/>
      <c r="R4" s="3" t="s">
        <v>9</v>
      </c>
      <c r="S4" s="68"/>
      <c r="T4" s="69"/>
      <c r="U4" s="102"/>
    </row>
    <row r="5" spans="2:23" ht="14.1" customHeight="1" outlineLevel="1">
      <c r="B5" s="107" t="s">
        <v>4</v>
      </c>
      <c r="C5" s="108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108"/>
      <c r="R5" s="3" t="s">
        <v>14</v>
      </c>
      <c r="S5" s="116"/>
      <c r="T5" s="69"/>
      <c r="U5" s="102"/>
    </row>
    <row r="6" spans="2:23" ht="14.1" customHeight="1" outlineLevel="1">
      <c r="B6" s="107" t="s">
        <v>5</v>
      </c>
      <c r="C6" s="108"/>
      <c r="D6" s="69"/>
      <c r="E6" s="108"/>
      <c r="F6" s="3" t="s">
        <v>6</v>
      </c>
      <c r="G6" s="99"/>
      <c r="H6" s="99"/>
      <c r="I6" s="68" t="s">
        <v>12</v>
      </c>
      <c r="J6" s="69"/>
      <c r="K6" s="68"/>
      <c r="L6" s="69"/>
      <c r="M6" s="69"/>
      <c r="N6" s="69"/>
      <c r="O6" s="6" t="s">
        <v>10</v>
      </c>
      <c r="P6" s="99"/>
      <c r="Q6" s="99"/>
      <c r="R6" s="12"/>
      <c r="S6" s="12"/>
      <c r="T6" s="12"/>
      <c r="U6" s="13"/>
    </row>
    <row r="7" spans="2:23" ht="14.1" customHeight="1" outlineLevel="1">
      <c r="B7" s="107" t="s">
        <v>11</v>
      </c>
      <c r="C7" s="108"/>
      <c r="D7" s="68"/>
      <c r="E7" s="69"/>
      <c r="F7" s="69"/>
      <c r="G7" s="69"/>
      <c r="H7" s="108"/>
      <c r="I7" s="68" t="s">
        <v>1</v>
      </c>
      <c r="J7" s="69"/>
      <c r="K7" s="69"/>
      <c r="L7" s="99"/>
      <c r="M7" s="99"/>
      <c r="N7" s="99"/>
      <c r="O7" s="99"/>
      <c r="P7" s="99"/>
      <c r="Q7" s="99"/>
      <c r="R7" s="99"/>
      <c r="S7" s="99"/>
      <c r="T7" s="99"/>
      <c r="U7" s="117"/>
    </row>
    <row r="8" spans="2:23" ht="14.1" customHeight="1" outlineLevel="1">
      <c r="B8" s="107" t="s">
        <v>13</v>
      </c>
      <c r="C8" s="108"/>
      <c r="D8" s="68"/>
      <c r="E8" s="69"/>
      <c r="F8" s="68" t="s">
        <v>21</v>
      </c>
      <c r="G8" s="69"/>
      <c r="H8" s="69"/>
      <c r="I8" s="99" t="s">
        <v>54</v>
      </c>
      <c r="J8" s="99"/>
      <c r="K8" s="99"/>
      <c r="L8" s="99"/>
      <c r="M8" s="99"/>
      <c r="N8" s="99"/>
      <c r="O8" s="99"/>
      <c r="P8" s="99"/>
      <c r="Q8" s="99"/>
      <c r="R8" s="3" t="s">
        <v>8</v>
      </c>
      <c r="S8" s="113"/>
      <c r="T8" s="114"/>
      <c r="U8" s="115"/>
    </row>
    <row r="9" spans="2:23" ht="27.95" customHeight="1" thickBot="1">
      <c r="B9" s="55" t="s">
        <v>15</v>
      </c>
      <c r="C9" s="56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8"/>
    </row>
    <row r="10" spans="2:23" ht="27.95" customHeight="1" thickBot="1">
      <c r="B10" s="14"/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7"/>
    </row>
    <row r="11" spans="2:23" ht="21.95" customHeight="1" thickBot="1">
      <c r="B11" s="10" t="s">
        <v>16</v>
      </c>
      <c r="C11" s="33" t="s">
        <v>17</v>
      </c>
      <c r="D11" s="34" t="s">
        <v>18</v>
      </c>
      <c r="E11" s="34" t="s">
        <v>31</v>
      </c>
      <c r="F11" s="65" t="s">
        <v>30</v>
      </c>
      <c r="G11" s="66"/>
      <c r="H11" s="66"/>
      <c r="I11" s="67"/>
      <c r="J11" s="85" t="s">
        <v>32</v>
      </c>
      <c r="K11" s="86"/>
      <c r="L11" s="87"/>
      <c r="M11" s="65" t="s">
        <v>34</v>
      </c>
      <c r="N11" s="66"/>
      <c r="O11" s="66"/>
      <c r="P11" s="67"/>
      <c r="Q11" s="33" t="s">
        <v>0</v>
      </c>
      <c r="R11" s="33" t="s">
        <v>22</v>
      </c>
      <c r="S11" s="11" t="s">
        <v>41</v>
      </c>
      <c r="T11" s="111" t="s">
        <v>23</v>
      </c>
      <c r="U11" s="112"/>
    </row>
    <row r="12" spans="2:23" s="41" customFormat="1" ht="50.1" customHeight="1">
      <c r="B12" s="35"/>
      <c r="C12" s="36" t="s">
        <v>45</v>
      </c>
      <c r="D12" s="37" t="s">
        <v>24</v>
      </c>
      <c r="E12" s="37" t="s">
        <v>50</v>
      </c>
      <c r="F12" s="51" t="s">
        <v>27</v>
      </c>
      <c r="G12" s="51"/>
      <c r="H12" s="51"/>
      <c r="I12" s="51"/>
      <c r="J12" s="51" t="s">
        <v>49</v>
      </c>
      <c r="K12" s="51"/>
      <c r="L12" s="51"/>
      <c r="M12" s="51" t="s">
        <v>43</v>
      </c>
      <c r="N12" s="51"/>
      <c r="O12" s="51"/>
      <c r="P12" s="51"/>
      <c r="Q12" s="38">
        <v>16.66</v>
      </c>
      <c r="R12" s="39">
        <v>39.99</v>
      </c>
      <c r="S12" s="40">
        <v>0</v>
      </c>
      <c r="T12" s="52">
        <f t="shared" ref="T12" si="0">Q12*S12</f>
        <v>0</v>
      </c>
      <c r="U12" s="53"/>
      <c r="W12" s="42"/>
    </row>
    <row r="13" spans="2:23" s="41" customFormat="1" ht="50.1" customHeight="1">
      <c r="B13" s="35"/>
      <c r="C13" s="36" t="s">
        <v>45</v>
      </c>
      <c r="D13" s="37" t="s">
        <v>25</v>
      </c>
      <c r="E13" s="37" t="s">
        <v>50</v>
      </c>
      <c r="F13" s="51" t="s">
        <v>28</v>
      </c>
      <c r="G13" s="51"/>
      <c r="H13" s="51"/>
      <c r="I13" s="51"/>
      <c r="J13" s="51" t="s">
        <v>49</v>
      </c>
      <c r="K13" s="51"/>
      <c r="L13" s="51"/>
      <c r="M13" s="51" t="s">
        <v>43</v>
      </c>
      <c r="N13" s="51"/>
      <c r="O13" s="51"/>
      <c r="P13" s="51"/>
      <c r="Q13" s="38">
        <v>16.66</v>
      </c>
      <c r="R13" s="39">
        <v>39.99</v>
      </c>
      <c r="S13" s="40">
        <v>0</v>
      </c>
      <c r="T13" s="52">
        <f t="shared" ref="T13:T26" si="1">Q13*S13</f>
        <v>0</v>
      </c>
      <c r="U13" s="53"/>
      <c r="W13" s="42"/>
    </row>
    <row r="14" spans="2:23" s="41" customFormat="1" ht="50.1" customHeight="1">
      <c r="B14" s="35"/>
      <c r="C14" s="36" t="s">
        <v>46</v>
      </c>
      <c r="D14" s="37" t="s">
        <v>24</v>
      </c>
      <c r="E14" s="37" t="s">
        <v>50</v>
      </c>
      <c r="F14" s="51" t="s">
        <v>27</v>
      </c>
      <c r="G14" s="51"/>
      <c r="H14" s="51"/>
      <c r="I14" s="51"/>
      <c r="J14" s="51" t="s">
        <v>33</v>
      </c>
      <c r="K14" s="51"/>
      <c r="L14" s="51"/>
      <c r="M14" s="51" t="s">
        <v>43</v>
      </c>
      <c r="N14" s="51"/>
      <c r="O14" s="51"/>
      <c r="P14" s="51"/>
      <c r="Q14" s="38">
        <v>16.66</v>
      </c>
      <c r="R14" s="39">
        <v>39.99</v>
      </c>
      <c r="S14" s="40">
        <v>0</v>
      </c>
      <c r="T14" s="52">
        <f t="shared" si="1"/>
        <v>0</v>
      </c>
      <c r="U14" s="53"/>
      <c r="W14" s="42"/>
    </row>
    <row r="15" spans="2:23" s="41" customFormat="1" ht="50.1" customHeight="1">
      <c r="B15" s="35"/>
      <c r="C15" s="43" t="s">
        <v>46</v>
      </c>
      <c r="D15" s="37" t="s">
        <v>25</v>
      </c>
      <c r="E15" s="44" t="s">
        <v>50</v>
      </c>
      <c r="F15" s="48" t="s">
        <v>28</v>
      </c>
      <c r="G15" s="49"/>
      <c r="H15" s="49"/>
      <c r="I15" s="50"/>
      <c r="J15" s="48" t="s">
        <v>33</v>
      </c>
      <c r="K15" s="49"/>
      <c r="L15" s="50"/>
      <c r="M15" s="48" t="s">
        <v>43</v>
      </c>
      <c r="N15" s="49"/>
      <c r="O15" s="49"/>
      <c r="P15" s="50"/>
      <c r="Q15" s="45">
        <v>16.66</v>
      </c>
      <c r="R15" s="46">
        <v>39.99</v>
      </c>
      <c r="S15" s="40">
        <v>0</v>
      </c>
      <c r="T15" s="52">
        <f t="shared" si="1"/>
        <v>0</v>
      </c>
      <c r="U15" s="53"/>
      <c r="W15" s="42"/>
    </row>
    <row r="16" spans="2:23" s="41" customFormat="1" ht="50.1" customHeight="1">
      <c r="B16" s="35"/>
      <c r="C16" s="43" t="s">
        <v>47</v>
      </c>
      <c r="D16" s="44" t="s">
        <v>24</v>
      </c>
      <c r="E16" s="44" t="s">
        <v>53</v>
      </c>
      <c r="F16" s="48" t="s">
        <v>27</v>
      </c>
      <c r="G16" s="49"/>
      <c r="H16" s="49"/>
      <c r="I16" s="50"/>
      <c r="J16" s="48" t="s">
        <v>49</v>
      </c>
      <c r="K16" s="49"/>
      <c r="L16" s="50"/>
      <c r="M16" s="48" t="s">
        <v>42</v>
      </c>
      <c r="N16" s="49"/>
      <c r="O16" s="49"/>
      <c r="P16" s="50"/>
      <c r="Q16" s="45">
        <f t="shared" ref="Q16:Q21" si="2">R16/2.4</f>
        <v>16.662500000000001</v>
      </c>
      <c r="R16" s="46">
        <v>39.99</v>
      </c>
      <c r="S16" s="40">
        <v>0</v>
      </c>
      <c r="T16" s="52">
        <f t="shared" ref="T16:T21" si="3">Q16*S16</f>
        <v>0</v>
      </c>
      <c r="U16" s="53"/>
      <c r="W16" s="42"/>
    </row>
    <row r="17" spans="2:23" s="41" customFormat="1" ht="50.1" customHeight="1">
      <c r="B17" s="35"/>
      <c r="C17" s="43" t="s">
        <v>47</v>
      </c>
      <c r="D17" s="37" t="s">
        <v>25</v>
      </c>
      <c r="E17" s="44" t="s">
        <v>53</v>
      </c>
      <c r="F17" s="48" t="s">
        <v>28</v>
      </c>
      <c r="G17" s="49"/>
      <c r="H17" s="49"/>
      <c r="I17" s="50"/>
      <c r="J17" s="48" t="s">
        <v>49</v>
      </c>
      <c r="K17" s="49"/>
      <c r="L17" s="50"/>
      <c r="M17" s="48" t="s">
        <v>42</v>
      </c>
      <c r="N17" s="49"/>
      <c r="O17" s="49"/>
      <c r="P17" s="50"/>
      <c r="Q17" s="45">
        <f t="shared" si="2"/>
        <v>16.662500000000001</v>
      </c>
      <c r="R17" s="46">
        <v>39.99</v>
      </c>
      <c r="S17" s="40">
        <v>0</v>
      </c>
      <c r="T17" s="52">
        <f t="shared" si="3"/>
        <v>0</v>
      </c>
      <c r="U17" s="53"/>
      <c r="W17" s="42"/>
    </row>
    <row r="18" spans="2:23" s="41" customFormat="1" ht="50.1" customHeight="1">
      <c r="B18" s="35"/>
      <c r="C18" s="43" t="s">
        <v>47</v>
      </c>
      <c r="D18" s="37" t="s">
        <v>26</v>
      </c>
      <c r="E18" s="44" t="s">
        <v>53</v>
      </c>
      <c r="F18" s="48" t="s">
        <v>29</v>
      </c>
      <c r="G18" s="49"/>
      <c r="H18" s="49"/>
      <c r="I18" s="50"/>
      <c r="J18" s="48" t="s">
        <v>49</v>
      </c>
      <c r="K18" s="49"/>
      <c r="L18" s="50"/>
      <c r="M18" s="48" t="s">
        <v>42</v>
      </c>
      <c r="N18" s="49"/>
      <c r="O18" s="49"/>
      <c r="P18" s="50"/>
      <c r="Q18" s="45">
        <f t="shared" si="2"/>
        <v>16.662500000000001</v>
      </c>
      <c r="R18" s="46">
        <v>39.99</v>
      </c>
      <c r="S18" s="40">
        <v>0</v>
      </c>
      <c r="T18" s="52">
        <f t="shared" si="3"/>
        <v>0</v>
      </c>
      <c r="U18" s="53"/>
      <c r="W18" s="42"/>
    </row>
    <row r="19" spans="2:23" s="41" customFormat="1" ht="50.1" customHeight="1">
      <c r="B19" s="35"/>
      <c r="C19" s="43" t="s">
        <v>48</v>
      </c>
      <c r="D19" s="44" t="s">
        <v>24</v>
      </c>
      <c r="E19" s="44" t="s">
        <v>53</v>
      </c>
      <c r="F19" s="88" t="s">
        <v>27</v>
      </c>
      <c r="G19" s="89"/>
      <c r="H19" s="89"/>
      <c r="I19" s="90"/>
      <c r="J19" s="48" t="s">
        <v>33</v>
      </c>
      <c r="K19" s="49"/>
      <c r="L19" s="50"/>
      <c r="M19" s="48" t="s">
        <v>42</v>
      </c>
      <c r="N19" s="49"/>
      <c r="O19" s="49"/>
      <c r="P19" s="50"/>
      <c r="Q19" s="45">
        <f t="shared" si="2"/>
        <v>16.662500000000001</v>
      </c>
      <c r="R19" s="46">
        <v>39.99</v>
      </c>
      <c r="S19" s="40">
        <v>0</v>
      </c>
      <c r="T19" s="52">
        <f t="shared" si="3"/>
        <v>0</v>
      </c>
      <c r="U19" s="53"/>
      <c r="W19" s="42"/>
    </row>
    <row r="20" spans="2:23" s="41" customFormat="1" ht="50.1" customHeight="1">
      <c r="B20" s="35"/>
      <c r="C20" s="43" t="s">
        <v>48</v>
      </c>
      <c r="D20" s="37" t="s">
        <v>25</v>
      </c>
      <c r="E20" s="44" t="s">
        <v>53</v>
      </c>
      <c r="F20" s="48" t="s">
        <v>28</v>
      </c>
      <c r="G20" s="49"/>
      <c r="H20" s="49"/>
      <c r="I20" s="50"/>
      <c r="J20" s="48" t="s">
        <v>33</v>
      </c>
      <c r="K20" s="49"/>
      <c r="L20" s="50"/>
      <c r="M20" s="48" t="s">
        <v>42</v>
      </c>
      <c r="N20" s="49"/>
      <c r="O20" s="49"/>
      <c r="P20" s="50"/>
      <c r="Q20" s="45">
        <f t="shared" si="2"/>
        <v>16.662500000000001</v>
      </c>
      <c r="R20" s="46">
        <v>39.99</v>
      </c>
      <c r="S20" s="40">
        <v>0</v>
      </c>
      <c r="T20" s="52">
        <f t="shared" si="3"/>
        <v>0</v>
      </c>
      <c r="U20" s="53"/>
      <c r="W20" s="42"/>
    </row>
    <row r="21" spans="2:23" s="41" customFormat="1" ht="50.1" customHeight="1">
      <c r="B21" s="35"/>
      <c r="C21" s="43" t="s">
        <v>48</v>
      </c>
      <c r="D21" s="37" t="s">
        <v>26</v>
      </c>
      <c r="E21" s="37" t="s">
        <v>53</v>
      </c>
      <c r="F21" s="51" t="s">
        <v>29</v>
      </c>
      <c r="G21" s="51"/>
      <c r="H21" s="51"/>
      <c r="I21" s="51"/>
      <c r="J21" s="51" t="s">
        <v>33</v>
      </c>
      <c r="K21" s="51"/>
      <c r="L21" s="51"/>
      <c r="M21" s="51" t="s">
        <v>42</v>
      </c>
      <c r="N21" s="51"/>
      <c r="O21" s="51"/>
      <c r="P21" s="51"/>
      <c r="Q21" s="38">
        <f t="shared" si="2"/>
        <v>16.662500000000001</v>
      </c>
      <c r="R21" s="39">
        <v>39.99</v>
      </c>
      <c r="S21" s="47">
        <v>0</v>
      </c>
      <c r="T21" s="54">
        <f t="shared" si="3"/>
        <v>0</v>
      </c>
      <c r="U21" s="54"/>
      <c r="W21" s="42"/>
    </row>
    <row r="22" spans="2:23" s="23" customFormat="1" ht="50.1" customHeight="1">
      <c r="B22" s="4"/>
      <c r="C22" s="19" t="s">
        <v>35</v>
      </c>
      <c r="D22" s="25" t="s">
        <v>24</v>
      </c>
      <c r="E22" s="25" t="s">
        <v>55</v>
      </c>
      <c r="F22" s="84" t="s">
        <v>27</v>
      </c>
      <c r="G22" s="84"/>
      <c r="H22" s="84"/>
      <c r="I22" s="84"/>
      <c r="J22" s="84" t="s">
        <v>49</v>
      </c>
      <c r="K22" s="84"/>
      <c r="L22" s="84"/>
      <c r="M22" s="84" t="s">
        <v>42</v>
      </c>
      <c r="N22" s="84"/>
      <c r="O22" s="84"/>
      <c r="P22" s="84"/>
      <c r="Q22" s="31">
        <v>29.16</v>
      </c>
      <c r="R22" s="26">
        <v>69.989999999999995</v>
      </c>
      <c r="S22" s="32">
        <v>0</v>
      </c>
      <c r="T22" s="64">
        <f t="shared" si="1"/>
        <v>0</v>
      </c>
      <c r="U22" s="64"/>
      <c r="W22" s="24"/>
    </row>
    <row r="23" spans="2:23" s="23" customFormat="1" ht="50.1" customHeight="1">
      <c r="B23" s="4"/>
      <c r="C23" s="19" t="s">
        <v>35</v>
      </c>
      <c r="D23" s="25" t="s">
        <v>25</v>
      </c>
      <c r="E23" s="25" t="s">
        <v>55</v>
      </c>
      <c r="F23" s="84" t="s">
        <v>28</v>
      </c>
      <c r="G23" s="84"/>
      <c r="H23" s="84"/>
      <c r="I23" s="84"/>
      <c r="J23" s="84" t="s">
        <v>49</v>
      </c>
      <c r="K23" s="84"/>
      <c r="L23" s="84"/>
      <c r="M23" s="84" t="s">
        <v>42</v>
      </c>
      <c r="N23" s="84"/>
      <c r="O23" s="84"/>
      <c r="P23" s="84"/>
      <c r="Q23" s="31">
        <v>29.16</v>
      </c>
      <c r="R23" s="26">
        <v>69.989999999999995</v>
      </c>
      <c r="S23" s="32">
        <v>0</v>
      </c>
      <c r="T23" s="64">
        <f t="shared" si="1"/>
        <v>0</v>
      </c>
      <c r="U23" s="64"/>
      <c r="W23" s="24"/>
    </row>
    <row r="24" spans="2:23" s="23" customFormat="1" ht="50.1" customHeight="1">
      <c r="B24" s="4"/>
      <c r="C24" s="19" t="s">
        <v>35</v>
      </c>
      <c r="D24" s="25" t="s">
        <v>26</v>
      </c>
      <c r="E24" s="25" t="s">
        <v>55</v>
      </c>
      <c r="F24" s="84" t="s">
        <v>29</v>
      </c>
      <c r="G24" s="84"/>
      <c r="H24" s="84"/>
      <c r="I24" s="84"/>
      <c r="J24" s="84" t="s">
        <v>49</v>
      </c>
      <c r="K24" s="84"/>
      <c r="L24" s="84"/>
      <c r="M24" s="84" t="s">
        <v>42</v>
      </c>
      <c r="N24" s="84"/>
      <c r="O24" s="84"/>
      <c r="P24" s="84"/>
      <c r="Q24" s="31">
        <v>29.16</v>
      </c>
      <c r="R24" s="26">
        <v>69.989999999999995</v>
      </c>
      <c r="S24" s="32">
        <v>0</v>
      </c>
      <c r="T24" s="64">
        <f t="shared" si="1"/>
        <v>0</v>
      </c>
      <c r="U24" s="64"/>
      <c r="W24" s="24"/>
    </row>
    <row r="25" spans="2:23" s="23" customFormat="1" ht="50.1" customHeight="1">
      <c r="B25" s="4"/>
      <c r="C25" s="19" t="s">
        <v>36</v>
      </c>
      <c r="D25" s="25" t="s">
        <v>24</v>
      </c>
      <c r="E25" s="25" t="s">
        <v>55</v>
      </c>
      <c r="F25" s="84" t="s">
        <v>27</v>
      </c>
      <c r="G25" s="84"/>
      <c r="H25" s="84"/>
      <c r="I25" s="84"/>
      <c r="J25" s="84" t="s">
        <v>33</v>
      </c>
      <c r="K25" s="84"/>
      <c r="L25" s="84"/>
      <c r="M25" s="84" t="s">
        <v>42</v>
      </c>
      <c r="N25" s="84"/>
      <c r="O25" s="84"/>
      <c r="P25" s="84"/>
      <c r="Q25" s="31">
        <v>29.16</v>
      </c>
      <c r="R25" s="26">
        <v>69.989999999999995</v>
      </c>
      <c r="S25" s="32">
        <v>0</v>
      </c>
      <c r="T25" s="64">
        <f t="shared" si="1"/>
        <v>0</v>
      </c>
      <c r="U25" s="64"/>
      <c r="W25" s="24"/>
    </row>
    <row r="26" spans="2:23" s="23" customFormat="1" ht="50.1" customHeight="1">
      <c r="B26" s="4"/>
      <c r="C26" s="19" t="s">
        <v>36</v>
      </c>
      <c r="D26" s="25" t="s">
        <v>25</v>
      </c>
      <c r="E26" s="25" t="s">
        <v>55</v>
      </c>
      <c r="F26" s="78" t="s">
        <v>28</v>
      </c>
      <c r="G26" s="79"/>
      <c r="H26" s="79"/>
      <c r="I26" s="80"/>
      <c r="J26" s="78" t="s">
        <v>33</v>
      </c>
      <c r="K26" s="79"/>
      <c r="L26" s="80"/>
      <c r="M26" s="78" t="s">
        <v>42</v>
      </c>
      <c r="N26" s="79"/>
      <c r="O26" s="79"/>
      <c r="P26" s="80"/>
      <c r="Q26" s="21">
        <v>29.16</v>
      </c>
      <c r="R26" s="22">
        <v>69.989999999999995</v>
      </c>
      <c r="S26" s="18">
        <v>0</v>
      </c>
      <c r="T26" s="91">
        <f t="shared" si="1"/>
        <v>0</v>
      </c>
      <c r="U26" s="92"/>
      <c r="W26" s="24"/>
    </row>
    <row r="27" spans="2:23" s="23" customFormat="1" ht="50.1" customHeight="1">
      <c r="B27" s="4"/>
      <c r="C27" s="19" t="s">
        <v>36</v>
      </c>
      <c r="D27" s="25" t="s">
        <v>26</v>
      </c>
      <c r="E27" s="25" t="s">
        <v>55</v>
      </c>
      <c r="F27" s="78" t="s">
        <v>29</v>
      </c>
      <c r="G27" s="79"/>
      <c r="H27" s="79"/>
      <c r="I27" s="80"/>
      <c r="J27" s="78" t="s">
        <v>33</v>
      </c>
      <c r="K27" s="79"/>
      <c r="L27" s="80"/>
      <c r="M27" s="78" t="s">
        <v>42</v>
      </c>
      <c r="N27" s="79"/>
      <c r="O27" s="79"/>
      <c r="P27" s="80"/>
      <c r="Q27" s="21">
        <v>29.16</v>
      </c>
      <c r="R27" s="22">
        <v>69.989999999999995</v>
      </c>
      <c r="S27" s="18">
        <v>0</v>
      </c>
      <c r="T27" s="91">
        <f t="shared" ref="T27:T39" si="4">Q27*S27</f>
        <v>0</v>
      </c>
      <c r="U27" s="92"/>
      <c r="W27" s="24"/>
    </row>
    <row r="28" spans="2:23" s="23" customFormat="1" ht="50.1" customHeight="1">
      <c r="B28" s="4"/>
      <c r="C28" s="19" t="s">
        <v>37</v>
      </c>
      <c r="D28" s="20" t="s">
        <v>24</v>
      </c>
      <c r="E28" s="20" t="s">
        <v>51</v>
      </c>
      <c r="F28" s="81" t="s">
        <v>27</v>
      </c>
      <c r="G28" s="82"/>
      <c r="H28" s="82"/>
      <c r="I28" s="83"/>
      <c r="J28" s="78" t="s">
        <v>49</v>
      </c>
      <c r="K28" s="79"/>
      <c r="L28" s="80"/>
      <c r="M28" s="78" t="s">
        <v>42</v>
      </c>
      <c r="N28" s="79"/>
      <c r="O28" s="79"/>
      <c r="P28" s="80"/>
      <c r="Q28" s="21">
        <v>16.66</v>
      </c>
      <c r="R28" s="26">
        <v>39.99</v>
      </c>
      <c r="S28" s="18">
        <v>0</v>
      </c>
      <c r="T28" s="91">
        <f t="shared" si="4"/>
        <v>0</v>
      </c>
      <c r="U28" s="92"/>
      <c r="W28" s="24"/>
    </row>
    <row r="29" spans="2:23" s="23" customFormat="1" ht="50.1" customHeight="1">
      <c r="B29" s="4"/>
      <c r="C29" s="19" t="s">
        <v>37</v>
      </c>
      <c r="D29" s="25" t="s">
        <v>25</v>
      </c>
      <c r="E29" s="20" t="s">
        <v>51</v>
      </c>
      <c r="F29" s="78" t="s">
        <v>28</v>
      </c>
      <c r="G29" s="79"/>
      <c r="H29" s="79"/>
      <c r="I29" s="80"/>
      <c r="J29" s="78" t="s">
        <v>49</v>
      </c>
      <c r="K29" s="79"/>
      <c r="L29" s="80"/>
      <c r="M29" s="78" t="s">
        <v>42</v>
      </c>
      <c r="N29" s="79"/>
      <c r="O29" s="79"/>
      <c r="P29" s="80"/>
      <c r="Q29" s="21">
        <v>16.66</v>
      </c>
      <c r="R29" s="26">
        <v>39.99</v>
      </c>
      <c r="S29" s="18">
        <v>0</v>
      </c>
      <c r="T29" s="91">
        <f t="shared" si="4"/>
        <v>0</v>
      </c>
      <c r="U29" s="92"/>
      <c r="W29" s="24"/>
    </row>
    <row r="30" spans="2:23" s="23" customFormat="1" ht="50.1" customHeight="1">
      <c r="B30" s="4"/>
      <c r="C30" s="19" t="s">
        <v>37</v>
      </c>
      <c r="D30" s="25" t="s">
        <v>26</v>
      </c>
      <c r="E30" s="20" t="s">
        <v>51</v>
      </c>
      <c r="F30" s="78" t="s">
        <v>29</v>
      </c>
      <c r="G30" s="79"/>
      <c r="H30" s="79"/>
      <c r="I30" s="80"/>
      <c r="J30" s="78" t="s">
        <v>49</v>
      </c>
      <c r="K30" s="79"/>
      <c r="L30" s="80"/>
      <c r="M30" s="78" t="s">
        <v>42</v>
      </c>
      <c r="N30" s="79"/>
      <c r="O30" s="79"/>
      <c r="P30" s="80"/>
      <c r="Q30" s="21">
        <v>16.66</v>
      </c>
      <c r="R30" s="26">
        <v>39.99</v>
      </c>
      <c r="S30" s="18">
        <v>0</v>
      </c>
      <c r="T30" s="91">
        <f t="shared" ref="T30:T38" si="5">Q30*S30</f>
        <v>0</v>
      </c>
      <c r="U30" s="92"/>
      <c r="W30" s="24"/>
    </row>
    <row r="31" spans="2:23" s="23" customFormat="1" ht="50.1" customHeight="1">
      <c r="B31" s="4"/>
      <c r="C31" s="19" t="s">
        <v>38</v>
      </c>
      <c r="D31" s="20" t="s">
        <v>24</v>
      </c>
      <c r="E31" s="20" t="s">
        <v>51</v>
      </c>
      <c r="F31" s="81" t="s">
        <v>27</v>
      </c>
      <c r="G31" s="82"/>
      <c r="H31" s="82"/>
      <c r="I31" s="83"/>
      <c r="J31" s="78" t="s">
        <v>33</v>
      </c>
      <c r="K31" s="79"/>
      <c r="L31" s="80"/>
      <c r="M31" s="78" t="s">
        <v>42</v>
      </c>
      <c r="N31" s="79"/>
      <c r="O31" s="79"/>
      <c r="P31" s="80"/>
      <c r="Q31" s="21">
        <v>16.66</v>
      </c>
      <c r="R31" s="26">
        <v>39.99</v>
      </c>
      <c r="S31" s="18">
        <v>0</v>
      </c>
      <c r="T31" s="91">
        <f t="shared" si="5"/>
        <v>0</v>
      </c>
      <c r="U31" s="92"/>
      <c r="W31" s="24"/>
    </row>
    <row r="32" spans="2:23" s="23" customFormat="1" ht="50.1" customHeight="1">
      <c r="B32" s="4"/>
      <c r="C32" s="19" t="s">
        <v>38</v>
      </c>
      <c r="D32" s="25" t="s">
        <v>25</v>
      </c>
      <c r="E32" s="20" t="s">
        <v>51</v>
      </c>
      <c r="F32" s="78" t="s">
        <v>28</v>
      </c>
      <c r="G32" s="79"/>
      <c r="H32" s="79"/>
      <c r="I32" s="80"/>
      <c r="J32" s="78" t="s">
        <v>33</v>
      </c>
      <c r="K32" s="79"/>
      <c r="L32" s="80"/>
      <c r="M32" s="78" t="s">
        <v>42</v>
      </c>
      <c r="N32" s="79"/>
      <c r="O32" s="79"/>
      <c r="P32" s="80"/>
      <c r="Q32" s="21">
        <v>16.66</v>
      </c>
      <c r="R32" s="26">
        <v>39.99</v>
      </c>
      <c r="S32" s="18">
        <v>0</v>
      </c>
      <c r="T32" s="91">
        <f t="shared" si="5"/>
        <v>0</v>
      </c>
      <c r="U32" s="92"/>
      <c r="W32" s="24"/>
    </row>
    <row r="33" spans="2:23" s="23" customFormat="1" ht="50.1" customHeight="1">
      <c r="B33" s="4"/>
      <c r="C33" s="19" t="s">
        <v>38</v>
      </c>
      <c r="D33" s="25" t="s">
        <v>26</v>
      </c>
      <c r="E33" s="20" t="s">
        <v>51</v>
      </c>
      <c r="F33" s="78" t="s">
        <v>29</v>
      </c>
      <c r="G33" s="79"/>
      <c r="H33" s="79"/>
      <c r="I33" s="80"/>
      <c r="J33" s="78" t="s">
        <v>33</v>
      </c>
      <c r="K33" s="79"/>
      <c r="L33" s="80"/>
      <c r="M33" s="78" t="s">
        <v>42</v>
      </c>
      <c r="N33" s="79"/>
      <c r="O33" s="79"/>
      <c r="P33" s="80"/>
      <c r="Q33" s="21">
        <v>16.66</v>
      </c>
      <c r="R33" s="26">
        <v>39.99</v>
      </c>
      <c r="S33" s="18">
        <v>0</v>
      </c>
      <c r="T33" s="91">
        <f t="shared" si="5"/>
        <v>0</v>
      </c>
      <c r="U33" s="92"/>
      <c r="W33" s="24"/>
    </row>
    <row r="34" spans="2:23" s="23" customFormat="1" ht="50.1" customHeight="1">
      <c r="B34" s="4"/>
      <c r="C34" s="19" t="s">
        <v>39</v>
      </c>
      <c r="D34" s="20" t="s">
        <v>24</v>
      </c>
      <c r="E34" s="20" t="s">
        <v>52</v>
      </c>
      <c r="F34" s="81" t="s">
        <v>27</v>
      </c>
      <c r="G34" s="82"/>
      <c r="H34" s="82"/>
      <c r="I34" s="83"/>
      <c r="J34" s="78" t="s">
        <v>49</v>
      </c>
      <c r="K34" s="79"/>
      <c r="L34" s="80"/>
      <c r="M34" s="78" t="s">
        <v>42</v>
      </c>
      <c r="N34" s="79"/>
      <c r="O34" s="79"/>
      <c r="P34" s="80"/>
      <c r="Q34" s="21">
        <v>20.83</v>
      </c>
      <c r="R34" s="26">
        <v>49.99</v>
      </c>
      <c r="S34" s="18">
        <v>0</v>
      </c>
      <c r="T34" s="91">
        <f t="shared" si="5"/>
        <v>0</v>
      </c>
      <c r="U34" s="92"/>
      <c r="W34" s="24"/>
    </row>
    <row r="35" spans="2:23" s="23" customFormat="1" ht="50.1" customHeight="1">
      <c r="B35" s="4"/>
      <c r="C35" s="19" t="s">
        <v>39</v>
      </c>
      <c r="D35" s="25" t="s">
        <v>25</v>
      </c>
      <c r="E35" s="20" t="s">
        <v>52</v>
      </c>
      <c r="F35" s="78" t="s">
        <v>28</v>
      </c>
      <c r="G35" s="79"/>
      <c r="H35" s="79"/>
      <c r="I35" s="80"/>
      <c r="J35" s="78" t="s">
        <v>49</v>
      </c>
      <c r="K35" s="79"/>
      <c r="L35" s="80"/>
      <c r="M35" s="78" t="s">
        <v>42</v>
      </c>
      <c r="N35" s="79"/>
      <c r="O35" s="79"/>
      <c r="P35" s="80"/>
      <c r="Q35" s="21">
        <v>20.83</v>
      </c>
      <c r="R35" s="26">
        <v>49.99</v>
      </c>
      <c r="S35" s="18">
        <v>0</v>
      </c>
      <c r="T35" s="91">
        <f t="shared" si="5"/>
        <v>0</v>
      </c>
      <c r="U35" s="92"/>
      <c r="W35" s="24"/>
    </row>
    <row r="36" spans="2:23" s="23" customFormat="1" ht="50.1" customHeight="1">
      <c r="B36" s="4"/>
      <c r="C36" s="19" t="s">
        <v>39</v>
      </c>
      <c r="D36" s="25" t="s">
        <v>26</v>
      </c>
      <c r="E36" s="20" t="s">
        <v>52</v>
      </c>
      <c r="F36" s="78" t="s">
        <v>29</v>
      </c>
      <c r="G36" s="79"/>
      <c r="H36" s="79"/>
      <c r="I36" s="80"/>
      <c r="J36" s="78" t="s">
        <v>49</v>
      </c>
      <c r="K36" s="79"/>
      <c r="L36" s="80"/>
      <c r="M36" s="78" t="s">
        <v>42</v>
      </c>
      <c r="N36" s="79"/>
      <c r="O36" s="79"/>
      <c r="P36" s="80"/>
      <c r="Q36" s="21">
        <v>20.83</v>
      </c>
      <c r="R36" s="26">
        <v>49.99</v>
      </c>
      <c r="S36" s="18">
        <v>0</v>
      </c>
      <c r="T36" s="91">
        <f t="shared" si="5"/>
        <v>0</v>
      </c>
      <c r="U36" s="92"/>
      <c r="W36" s="24"/>
    </row>
    <row r="37" spans="2:23" s="23" customFormat="1" ht="50.1" customHeight="1">
      <c r="B37" s="4"/>
      <c r="C37" s="19" t="s">
        <v>40</v>
      </c>
      <c r="D37" s="20" t="s">
        <v>24</v>
      </c>
      <c r="E37" s="20" t="s">
        <v>52</v>
      </c>
      <c r="F37" s="81" t="s">
        <v>27</v>
      </c>
      <c r="G37" s="82"/>
      <c r="H37" s="82"/>
      <c r="I37" s="83"/>
      <c r="J37" s="78" t="s">
        <v>33</v>
      </c>
      <c r="K37" s="79"/>
      <c r="L37" s="80"/>
      <c r="M37" s="78" t="s">
        <v>42</v>
      </c>
      <c r="N37" s="79"/>
      <c r="O37" s="79"/>
      <c r="P37" s="80"/>
      <c r="Q37" s="21">
        <v>20.83</v>
      </c>
      <c r="R37" s="26">
        <v>49.99</v>
      </c>
      <c r="S37" s="18">
        <v>0</v>
      </c>
      <c r="T37" s="91">
        <f t="shared" si="5"/>
        <v>0</v>
      </c>
      <c r="U37" s="92"/>
      <c r="W37" s="24"/>
    </row>
    <row r="38" spans="2:23" s="23" customFormat="1" ht="50.1" customHeight="1">
      <c r="B38" s="4"/>
      <c r="C38" s="19" t="s">
        <v>40</v>
      </c>
      <c r="D38" s="25" t="s">
        <v>25</v>
      </c>
      <c r="E38" s="20" t="s">
        <v>52</v>
      </c>
      <c r="F38" s="78" t="s">
        <v>28</v>
      </c>
      <c r="G38" s="79"/>
      <c r="H38" s="79"/>
      <c r="I38" s="80"/>
      <c r="J38" s="78" t="s">
        <v>33</v>
      </c>
      <c r="K38" s="79"/>
      <c r="L38" s="80"/>
      <c r="M38" s="78" t="s">
        <v>42</v>
      </c>
      <c r="N38" s="79"/>
      <c r="O38" s="79"/>
      <c r="P38" s="80"/>
      <c r="Q38" s="21">
        <v>20.83</v>
      </c>
      <c r="R38" s="26">
        <v>49.99</v>
      </c>
      <c r="S38" s="18">
        <v>0</v>
      </c>
      <c r="T38" s="91">
        <f t="shared" si="5"/>
        <v>0</v>
      </c>
      <c r="U38" s="92"/>
      <c r="W38" s="24"/>
    </row>
    <row r="39" spans="2:23" s="23" customFormat="1" ht="50.1" customHeight="1">
      <c r="B39" s="4"/>
      <c r="C39" s="19" t="s">
        <v>40</v>
      </c>
      <c r="D39" s="25" t="s">
        <v>26</v>
      </c>
      <c r="E39" s="20" t="s">
        <v>52</v>
      </c>
      <c r="F39" s="78" t="s">
        <v>29</v>
      </c>
      <c r="G39" s="79"/>
      <c r="H39" s="79"/>
      <c r="I39" s="80"/>
      <c r="J39" s="78" t="s">
        <v>33</v>
      </c>
      <c r="K39" s="79"/>
      <c r="L39" s="80"/>
      <c r="M39" s="78" t="s">
        <v>42</v>
      </c>
      <c r="N39" s="79"/>
      <c r="O39" s="79"/>
      <c r="P39" s="80"/>
      <c r="Q39" s="21">
        <v>20.83</v>
      </c>
      <c r="R39" s="26">
        <v>49.99</v>
      </c>
      <c r="S39" s="18">
        <v>0</v>
      </c>
      <c r="T39" s="91">
        <f t="shared" si="4"/>
        <v>0</v>
      </c>
      <c r="U39" s="92"/>
      <c r="W39" s="24"/>
    </row>
    <row r="40" spans="2:23" s="23" customFormat="1">
      <c r="B40" s="96"/>
      <c r="C40" s="76"/>
      <c r="D40" s="77"/>
      <c r="E40" s="27"/>
      <c r="F40" s="75"/>
      <c r="G40" s="76"/>
      <c r="H40" s="76"/>
      <c r="I40" s="77"/>
      <c r="J40" s="75"/>
      <c r="K40" s="76"/>
      <c r="L40" s="77"/>
      <c r="M40" s="75"/>
      <c r="N40" s="76"/>
      <c r="O40" s="76"/>
      <c r="P40" s="77"/>
      <c r="Q40" s="28"/>
      <c r="R40" s="28"/>
      <c r="S40" s="29">
        <f>SUM(S12:S39)</f>
        <v>0</v>
      </c>
      <c r="T40" s="97">
        <f>SUM(T12:U39)</f>
        <v>0</v>
      </c>
      <c r="U40" s="98"/>
      <c r="W40" s="30"/>
    </row>
    <row r="41" spans="2:23" ht="9" customHeight="1" thickBot="1">
      <c r="B41" s="93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5"/>
    </row>
    <row r="43" spans="2:23">
      <c r="T43" s="5"/>
    </row>
  </sheetData>
  <autoFilter ref="B11:U40" xr:uid="{00000000-0001-0000-0000-000000000000}">
    <filterColumn colId="4" showButton="0"/>
    <filterColumn colId="5" showButton="0"/>
    <filterColumn colId="6" showButton="0"/>
    <filterColumn colId="8" showButton="0"/>
    <filterColumn colId="9" showButton="0"/>
    <filterColumn colId="11" showButton="0"/>
    <filterColumn colId="12" showButton="0"/>
    <filterColumn colId="13" showButton="0"/>
    <filterColumn colId="18" showButton="0"/>
  </autoFilter>
  <mergeCells count="155">
    <mergeCell ref="B5:C5"/>
    <mergeCell ref="D5:Q5"/>
    <mergeCell ref="B6:C6"/>
    <mergeCell ref="D6:E6"/>
    <mergeCell ref="K6:N6"/>
    <mergeCell ref="P6:Q6"/>
    <mergeCell ref="B7:C7"/>
    <mergeCell ref="B8:C8"/>
    <mergeCell ref="K3:Q3"/>
    <mergeCell ref="S3:U3"/>
    <mergeCell ref="S4:U4"/>
    <mergeCell ref="B3:C3"/>
    <mergeCell ref="D3:H3"/>
    <mergeCell ref="B4:C4"/>
    <mergeCell ref="D4:H4"/>
    <mergeCell ref="I4:J4"/>
    <mergeCell ref="K4:Q4"/>
    <mergeCell ref="T26:U26"/>
    <mergeCell ref="T11:U11"/>
    <mergeCell ref="S8:U8"/>
    <mergeCell ref="S5:U5"/>
    <mergeCell ref="G6:H6"/>
    <mergeCell ref="I7:K7"/>
    <mergeCell ref="L7:U7"/>
    <mergeCell ref="I6:J6"/>
    <mergeCell ref="D7:H7"/>
    <mergeCell ref="T23:U23"/>
    <mergeCell ref="T24:U24"/>
    <mergeCell ref="T25:U25"/>
    <mergeCell ref="F11:I11"/>
    <mergeCell ref="F12:I12"/>
    <mergeCell ref="F23:I23"/>
    <mergeCell ref="F24:I24"/>
    <mergeCell ref="T38:U38"/>
    <mergeCell ref="T33:U33"/>
    <mergeCell ref="T34:U34"/>
    <mergeCell ref="B41:U41"/>
    <mergeCell ref="B40:D40"/>
    <mergeCell ref="T40:U40"/>
    <mergeCell ref="I8:Q8"/>
    <mergeCell ref="T12:U12"/>
    <mergeCell ref="F8:H8"/>
    <mergeCell ref="T27:U27"/>
    <mergeCell ref="T28:U28"/>
    <mergeCell ref="T29:U29"/>
    <mergeCell ref="T39:U39"/>
    <mergeCell ref="T35:U35"/>
    <mergeCell ref="T36:U36"/>
    <mergeCell ref="T37:U37"/>
    <mergeCell ref="T30:U30"/>
    <mergeCell ref="T31:U31"/>
    <mergeCell ref="T32:U32"/>
    <mergeCell ref="F28:I28"/>
    <mergeCell ref="F29:I29"/>
    <mergeCell ref="F30:I30"/>
    <mergeCell ref="F31:I31"/>
    <mergeCell ref="F32:I32"/>
    <mergeCell ref="F26:I26"/>
    <mergeCell ref="F27:I27"/>
    <mergeCell ref="J11:L11"/>
    <mergeCell ref="J12:L12"/>
    <mergeCell ref="J23:L23"/>
    <mergeCell ref="J24:L24"/>
    <mergeCell ref="J25:L25"/>
    <mergeCell ref="J26:L26"/>
    <mergeCell ref="J27:L27"/>
    <mergeCell ref="F22:I22"/>
    <mergeCell ref="J22:L22"/>
    <mergeCell ref="F17:I17"/>
    <mergeCell ref="J17:L17"/>
    <mergeCell ref="F18:I18"/>
    <mergeCell ref="J18:L18"/>
    <mergeCell ref="F19:I19"/>
    <mergeCell ref="J19:L19"/>
    <mergeCell ref="F20:I20"/>
    <mergeCell ref="J20:L20"/>
    <mergeCell ref="F21:I21"/>
    <mergeCell ref="J21:L21"/>
    <mergeCell ref="F25:I25"/>
    <mergeCell ref="M30:P30"/>
    <mergeCell ref="M31:P31"/>
    <mergeCell ref="M32:P32"/>
    <mergeCell ref="J38:L38"/>
    <mergeCell ref="J39:L39"/>
    <mergeCell ref="J33:L33"/>
    <mergeCell ref="J34:L34"/>
    <mergeCell ref="J35:L35"/>
    <mergeCell ref="J36:L36"/>
    <mergeCell ref="J37:L37"/>
    <mergeCell ref="J30:L30"/>
    <mergeCell ref="J31:L31"/>
    <mergeCell ref="J32:L32"/>
    <mergeCell ref="M23:P23"/>
    <mergeCell ref="M24:P24"/>
    <mergeCell ref="M25:P25"/>
    <mergeCell ref="M26:P26"/>
    <mergeCell ref="M27:P27"/>
    <mergeCell ref="M28:P28"/>
    <mergeCell ref="M29:P29"/>
    <mergeCell ref="M22:P22"/>
    <mergeCell ref="J28:L28"/>
    <mergeCell ref="J29:L29"/>
    <mergeCell ref="M40:P40"/>
    <mergeCell ref="M38:P38"/>
    <mergeCell ref="M39:P39"/>
    <mergeCell ref="M33:P33"/>
    <mergeCell ref="M34:P34"/>
    <mergeCell ref="M35:P35"/>
    <mergeCell ref="M36:P36"/>
    <mergeCell ref="M37:P37"/>
    <mergeCell ref="F40:I40"/>
    <mergeCell ref="J40:L40"/>
    <mergeCell ref="F38:I38"/>
    <mergeCell ref="F39:I39"/>
    <mergeCell ref="F33:I33"/>
    <mergeCell ref="F34:I34"/>
    <mergeCell ref="F35:I35"/>
    <mergeCell ref="F36:I36"/>
    <mergeCell ref="F37:I37"/>
    <mergeCell ref="B9:C9"/>
    <mergeCell ref="D9:U9"/>
    <mergeCell ref="S2:U2"/>
    <mergeCell ref="F2:I2"/>
    <mergeCell ref="T22:U22"/>
    <mergeCell ref="T15:U15"/>
    <mergeCell ref="T14:U14"/>
    <mergeCell ref="T13:U13"/>
    <mergeCell ref="F13:I13"/>
    <mergeCell ref="J13:L13"/>
    <mergeCell ref="F14:I14"/>
    <mergeCell ref="F15:I15"/>
    <mergeCell ref="J14:L14"/>
    <mergeCell ref="J15:L15"/>
    <mergeCell ref="M13:P13"/>
    <mergeCell ref="M14:P14"/>
    <mergeCell ref="M15:P15"/>
    <mergeCell ref="M11:P11"/>
    <mergeCell ref="M12:P12"/>
    <mergeCell ref="D8:E8"/>
    <mergeCell ref="B2:D2"/>
    <mergeCell ref="I3:J3"/>
    <mergeCell ref="F16:I16"/>
    <mergeCell ref="J16:L16"/>
    <mergeCell ref="M16:P16"/>
    <mergeCell ref="M17:P17"/>
    <mergeCell ref="M18:P18"/>
    <mergeCell ref="M19:P19"/>
    <mergeCell ref="M20:P20"/>
    <mergeCell ref="M21:P21"/>
    <mergeCell ref="T16:U16"/>
    <mergeCell ref="T17:U17"/>
    <mergeCell ref="T18:U18"/>
    <mergeCell ref="T19:U19"/>
    <mergeCell ref="T20:U20"/>
    <mergeCell ref="T21:U21"/>
  </mergeCells>
  <phoneticPr fontId="2" type="noConversion"/>
  <pageMargins left="0.511811024" right="0.511811024" top="0.78740157499999996" bottom="0.78740157499999996" header="0.31496062000000002" footer="0.31496062000000002"/>
  <pageSetup paperSize="9"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</dc:creator>
  <cp:lastModifiedBy>Camila Baccan</cp:lastModifiedBy>
  <cp:lastPrinted>2018-12-06T16:46:30Z</cp:lastPrinted>
  <dcterms:created xsi:type="dcterms:W3CDTF">2010-08-02T13:51:18Z</dcterms:created>
  <dcterms:modified xsi:type="dcterms:W3CDTF">2026-09-24T12:33:53Z</dcterms:modified>
</cp:coreProperties>
</file>