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razielly.araujo\Downloads\"/>
    </mc:Choice>
  </mc:AlternateContent>
  <xr:revisionPtr revIDLastSave="0" documentId="8_{17912058-6C64-4854-8E69-1513E15548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" sheetId="3" r:id="rId1"/>
  </sheets>
  <definedNames>
    <definedName name="_xlnm._FilterDatabase" localSheetId="0" hidden="1">'1'!$B$10:$U$25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T20" i="3"/>
  <c r="T13" i="3"/>
  <c r="T23" i="3"/>
  <c r="T22" i="3"/>
  <c r="T21" i="3"/>
  <c r="T19" i="3"/>
  <c r="T18" i="3"/>
  <c r="T17" i="3"/>
  <c r="T16" i="3" l="1"/>
  <c r="S25" i="3" l="1"/>
  <c r="T14" i="3"/>
  <c r="T12" i="3"/>
  <c r="T15" i="3"/>
  <c r="T25" i="3" l="1"/>
</calcChain>
</file>

<file path=xl/sharedStrings.xml><?xml version="1.0" encoding="utf-8"?>
<sst xmlns="http://schemas.openxmlformats.org/spreadsheetml/2006/main" count="115" uniqueCount="69">
  <si>
    <t>CUSTO</t>
  </si>
  <si>
    <t>CONTATO FINANCEIRO:</t>
  </si>
  <si>
    <t xml:space="preserve">CONTATO: </t>
  </si>
  <si>
    <t xml:space="preserve">CNPJ: </t>
  </si>
  <si>
    <t xml:space="preserve">ENDEREÇO:  </t>
  </si>
  <si>
    <t xml:space="preserve">CIDADE:  </t>
  </si>
  <si>
    <t xml:space="preserve">UF: </t>
  </si>
  <si>
    <t>FANTASIA:</t>
  </si>
  <si>
    <t>DATA DO PEDIDO:</t>
  </si>
  <si>
    <t>TELEFONE:</t>
  </si>
  <si>
    <t>CEP:</t>
  </si>
  <si>
    <t xml:space="preserve">E-MAIL PARA NFE: </t>
  </si>
  <si>
    <t>BAIRRO:</t>
  </si>
  <si>
    <t xml:space="preserve">DATA DE FATURAMENTO: </t>
  </si>
  <si>
    <t>E-MAIL COMPRAS:</t>
  </si>
  <si>
    <t>IMAGEM</t>
  </si>
  <si>
    <t>REF.</t>
  </si>
  <si>
    <t>REF COR</t>
  </si>
  <si>
    <t xml:space="preserve">RAZÃO SOCIAL:  </t>
  </si>
  <si>
    <t xml:space="preserve">INSC. ESTADUAL:  </t>
  </si>
  <si>
    <t xml:space="preserve">COND. DE PGTO. : </t>
  </si>
  <si>
    <t>SUGESTÃO</t>
  </si>
  <si>
    <t>TOTAL R$</t>
  </si>
  <si>
    <t>001</t>
  </si>
  <si>
    <t>002</t>
  </si>
  <si>
    <t>DESCRIÇÃO COR</t>
  </si>
  <si>
    <t>DESCRIÇÃO PRODUTO</t>
  </si>
  <si>
    <t>TAMANHOS</t>
  </si>
  <si>
    <t>39 - 44</t>
  </si>
  <si>
    <t>OBS</t>
  </si>
  <si>
    <t>100</t>
  </si>
  <si>
    <t>900</t>
  </si>
  <si>
    <t>102</t>
  </si>
  <si>
    <t>33 - 38</t>
  </si>
  <si>
    <t>KIT 3</t>
  </si>
  <si>
    <t>KIT 3 PARES - SAPATILHA</t>
  </si>
  <si>
    <t>KIT 3 PARES - CANO MEDIO</t>
  </si>
  <si>
    <t>BRANCO</t>
  </si>
  <si>
    <t>SORTIDO (BRANCO/CINZA/PRETO)</t>
  </si>
  <si>
    <t>PRETO</t>
  </si>
  <si>
    <t>60 Dias</t>
  </si>
  <si>
    <t>OBS:</t>
  </si>
  <si>
    <t>TOTAL KITS</t>
  </si>
  <si>
    <t>KIT 3 PARES - CANO BAIXO TEC.</t>
  </si>
  <si>
    <t>AFK3S-A-100-3338</t>
  </si>
  <si>
    <t>AFK3S-A-900-3338</t>
  </si>
  <si>
    <t>AFK3S-A-001-3338</t>
  </si>
  <si>
    <t>AFK3S-A-100-3944</t>
  </si>
  <si>
    <t>AFK3S-A-900-3944</t>
  </si>
  <si>
    <t>AFK3S-A-001-3944</t>
  </si>
  <si>
    <t>AFK3C-M-100-3338</t>
  </si>
  <si>
    <t>AFK3C-M-100-3944</t>
  </si>
  <si>
    <t>AFK3C-B-102-3338</t>
  </si>
  <si>
    <t>AFK3C-B-101-3338</t>
  </si>
  <si>
    <t>AFK3C-B-102-3944</t>
  </si>
  <si>
    <t>AFK3C-B-101-3944</t>
  </si>
  <si>
    <t>BRANCO/PRETO</t>
  </si>
  <si>
    <t>PRETO/CINZA</t>
  </si>
  <si>
    <t>(79) 99959-1955</t>
  </si>
  <si>
    <t>af184@authenticfeet.com.br</t>
  </si>
  <si>
    <t>AF198.</t>
  </si>
  <si>
    <t>MULTIX COMERCIO DE CALCADOS E ARTIGOS DO VESTUARIO LTDA</t>
  </si>
  <si>
    <t>62.513.076/0001-78</t>
  </si>
  <si>
    <t>24161432-5</t>
  </si>
  <si>
    <t>Av. Comendador Gustavo Paiva, 5945 - Quadra 1320 / Lote 0657</t>
  </si>
  <si>
    <t>Cruz das Almas</t>
  </si>
  <si>
    <t>MACEIO</t>
  </si>
  <si>
    <t>AL</t>
  </si>
  <si>
    <t>57038-000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</si>
</sst>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-[$R$-416]\ * #,##0.00_-;\-[$R$-416]\ * #,##0.00_-;_-[$R$-416]\ * &quot;-&quot;??_-;_-@_-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</font>
    <font>
      <b/>
      <sz val="10"/>
      <color rgb="FF0070C0"/>
      <name val="Calibri"/>
      <family val="2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</font>
    <font>
      <b/>
      <sz val="14"/>
      <color indexed="8"/>
      <name val="Calibri"/>
      <family val="2"/>
    </font>
    <font>
      <b/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90">
    <xf numFmtId="0" fontId="0" fillId="0" borderId="0" xfId="0"/>
    <xf numFmtId="0" fontId="0" fillId="3" borderId="14" xfId="0" applyFill="1" applyBorder="1" applyAlignment="1" applyProtection="1">
      <alignment horizontal="center" vertical="center" wrapText="1"/>
      <protection locked="0"/>
    </xf>
    <xf numFmtId="4" fontId="0" fillId="3" borderId="14" xfId="0" applyNumberFormat="1" applyFill="1" applyBorder="1" applyAlignment="1" applyProtection="1">
      <alignment horizontal="center" vertical="center" wrapText="1"/>
      <protection locked="0"/>
    </xf>
    <xf numFmtId="49" fontId="9" fillId="0" borderId="17" xfId="0" applyNumberFormat="1" applyFont="1" applyBorder="1" applyAlignment="1">
      <alignment horizontal="center" vertical="center" wrapText="1"/>
    </xf>
    <xf numFmtId="49" fontId="0" fillId="3" borderId="14" xfId="0" applyNumberFormat="1" applyFill="1" applyBorder="1" applyAlignment="1" applyProtection="1">
      <alignment horizontal="center" vertical="center" wrapText="1"/>
      <protection locked="0"/>
    </xf>
    <xf numFmtId="49" fontId="0" fillId="3" borderId="1" xfId="0" applyNumberForma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3" fontId="0" fillId="0" borderId="0" xfId="0" applyNumberFormat="1" applyAlignment="1">
      <alignment horizontal="center" vertical="center" wrapText="1"/>
    </xf>
    <xf numFmtId="164" fontId="0" fillId="3" borderId="14" xfId="1" applyFont="1" applyFill="1" applyBorder="1" applyAlignment="1">
      <alignment horizontal="center" vertical="center" wrapText="1"/>
    </xf>
    <xf numFmtId="3" fontId="4" fillId="3" borderId="14" xfId="0" applyNumberFormat="1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164" fontId="0" fillId="3" borderId="1" xfId="1" applyFont="1" applyFill="1" applyBorder="1" applyAlignment="1">
      <alignment horizontal="center" vertical="center" wrapText="1"/>
    </xf>
    <xf numFmtId="3" fontId="4" fillId="3" borderId="3" xfId="0" applyNumberFormat="1" applyFont="1" applyFill="1" applyBorder="1" applyAlignment="1">
      <alignment horizontal="center" vertical="center" wrapText="1"/>
    </xf>
    <xf numFmtId="0" fontId="0" fillId="3" borderId="15" xfId="0" applyFill="1" applyBorder="1" applyAlignment="1" applyProtection="1">
      <alignment horizontal="center" vertical="center" wrapText="1"/>
      <protection locked="0"/>
    </xf>
    <xf numFmtId="165" fontId="0" fillId="3" borderId="1" xfId="0" applyNumberFormat="1" applyFill="1" applyBorder="1" applyAlignment="1" applyProtection="1">
      <alignment horizontal="center" vertical="center" wrapText="1"/>
      <protection locked="0"/>
    </xf>
    <xf numFmtId="165" fontId="0" fillId="3" borderId="14" xfId="0" applyNumberFormat="1" applyFill="1" applyBorder="1" applyAlignment="1" applyProtection="1">
      <alignment horizontal="center" vertical="center" wrapText="1"/>
      <protection locked="0"/>
    </xf>
    <xf numFmtId="165" fontId="0" fillId="3" borderId="14" xfId="1" applyNumberFormat="1" applyFont="1" applyFill="1" applyBorder="1" applyAlignment="1" applyProtection="1">
      <alignment horizontal="center" vertical="center" wrapText="1"/>
      <protection locked="0"/>
    </xf>
    <xf numFmtId="0" fontId="13" fillId="4" borderId="5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3" borderId="21" xfId="0" applyFont="1" applyFill="1" applyBorder="1" applyAlignment="1">
      <alignment horizontal="left" vertical="center" wrapText="1"/>
    </xf>
    <xf numFmtId="0" fontId="8" fillId="3" borderId="23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14" fontId="8" fillId="0" borderId="3" xfId="0" applyNumberFormat="1" applyFont="1" applyBorder="1" applyAlignment="1">
      <alignment horizontal="left" vertical="center" wrapText="1"/>
    </xf>
    <xf numFmtId="14" fontId="8" fillId="0" borderId="2" xfId="0" applyNumberFormat="1" applyFont="1" applyBorder="1" applyAlignment="1">
      <alignment horizontal="left" vertical="center" wrapText="1"/>
    </xf>
    <xf numFmtId="14" fontId="8" fillId="0" borderId="9" xfId="0" applyNumberFormat="1" applyFont="1" applyBorder="1" applyAlignment="1">
      <alignment horizontal="left" vertical="center" wrapText="1"/>
    </xf>
    <xf numFmtId="0" fontId="10" fillId="0" borderId="3" xfId="2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164" fontId="4" fillId="3" borderId="3" xfId="1" applyFont="1" applyFill="1" applyBorder="1" applyAlignment="1">
      <alignment horizontal="center" vertical="center" wrapText="1"/>
    </xf>
    <xf numFmtId="164" fontId="4" fillId="3" borderId="9" xfId="1" applyFont="1" applyFill="1" applyBorder="1" applyAlignment="1">
      <alignment horizontal="center" vertical="center" wrapText="1"/>
    </xf>
    <xf numFmtId="164" fontId="4" fillId="3" borderId="27" xfId="1" applyFont="1" applyFill="1" applyBorder="1" applyAlignment="1">
      <alignment horizontal="center" vertical="center" wrapText="1"/>
    </xf>
    <xf numFmtId="164" fontId="4" fillId="3" borderId="31" xfId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164" fontId="6" fillId="2" borderId="3" xfId="1" applyFont="1" applyFill="1" applyBorder="1" applyAlignment="1">
      <alignment horizontal="center" vertical="center" wrapText="1"/>
    </xf>
    <xf numFmtId="164" fontId="6" fillId="2" borderId="9" xfId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64" fontId="9" fillId="0" borderId="18" xfId="1" applyFont="1" applyBorder="1" applyAlignment="1">
      <alignment horizontal="center" vertical="center" wrapText="1"/>
    </xf>
    <xf numFmtId="164" fontId="9" fillId="0" borderId="12" xfId="1" applyFont="1" applyBorder="1" applyAlignment="1">
      <alignment horizontal="center" vertical="center" wrapText="1"/>
    </xf>
    <xf numFmtId="164" fontId="9" fillId="0" borderId="26" xfId="1" applyFont="1" applyBorder="1" applyAlignment="1">
      <alignment horizontal="center" vertical="center" wrapText="1"/>
    </xf>
    <xf numFmtId="49" fontId="12" fillId="0" borderId="11" xfId="0" applyNumberFormat="1" applyFont="1" applyBorder="1" applyAlignment="1">
      <alignment horizontal="center" wrapText="1"/>
    </xf>
    <xf numFmtId="49" fontId="12" fillId="0" borderId="12" xfId="0" applyNumberFormat="1" applyFont="1" applyBorder="1" applyAlignment="1">
      <alignment horizontal="center" wrapText="1"/>
    </xf>
    <xf numFmtId="49" fontId="12" fillId="0" borderId="13" xfId="0" applyNumberFormat="1" applyFont="1" applyBorder="1" applyAlignment="1">
      <alignment horizont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D78"/>
      <color rgb="FF0D24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183444</xdr:colOff>
      <xdr:row>11</xdr:row>
      <xdr:rowOff>42333</xdr:rowOff>
    </xdr:from>
    <xdr:to>
      <xdr:col>1</xdr:col>
      <xdr:colOff>893585</xdr:colOff>
      <xdr:row>11</xdr:row>
      <xdr:rowOff>606778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C107D0D-32A2-6C43-9B87-155E5D457D0F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09222" y="3104444"/>
          <a:ext cx="719666" cy="564445"/>
        </a:xfrm>
        <a:prstGeom prst="rect">
          <a:avLst/>
        </a:prstGeom>
      </xdr:spPr>
    </xdr:pic>
    <xdr:clientData/>
  </xdr:twoCellAnchor>
  <xdr:twoCellAnchor editAs="oneCell">
    <xdr:from>
      <xdr:col>1</xdr:col>
      <xdr:colOff>197555</xdr:colOff>
      <xdr:row>12</xdr:row>
      <xdr:rowOff>22972</xdr:rowOff>
    </xdr:from>
    <xdr:to>
      <xdr:col>2</xdr:col>
      <xdr:colOff>2306</xdr:colOff>
      <xdr:row>12</xdr:row>
      <xdr:rowOff>591748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B6AEF556-0026-184F-B1AE-0D2E89F90FD9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23333" y="3720083"/>
          <a:ext cx="719666" cy="572586"/>
        </a:xfrm>
        <a:prstGeom prst="rect">
          <a:avLst/>
        </a:prstGeom>
      </xdr:spPr>
    </xdr:pic>
    <xdr:clientData/>
  </xdr:twoCellAnchor>
  <xdr:twoCellAnchor editAs="oneCell">
    <xdr:from>
      <xdr:col>1</xdr:col>
      <xdr:colOff>197556</xdr:colOff>
      <xdr:row>13</xdr:row>
      <xdr:rowOff>31011</xdr:rowOff>
    </xdr:from>
    <xdr:to>
      <xdr:col>2</xdr:col>
      <xdr:colOff>2307</xdr:colOff>
      <xdr:row>13</xdr:row>
      <xdr:rowOff>588866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FC24292D-0277-AE43-8B86-FBF054C9A964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23334" y="4363122"/>
          <a:ext cx="719666" cy="567380"/>
        </a:xfrm>
        <a:prstGeom prst="rect">
          <a:avLst/>
        </a:prstGeom>
      </xdr:spPr>
    </xdr:pic>
    <xdr:clientData/>
  </xdr:twoCellAnchor>
  <xdr:twoCellAnchor editAs="oneCell">
    <xdr:from>
      <xdr:col>1</xdr:col>
      <xdr:colOff>155221</xdr:colOff>
      <xdr:row>14</xdr:row>
      <xdr:rowOff>56444</xdr:rowOff>
    </xdr:from>
    <xdr:to>
      <xdr:col>1</xdr:col>
      <xdr:colOff>874887</xdr:colOff>
      <xdr:row>15</xdr:row>
      <xdr:rowOff>1764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C43A1C32-F950-474E-86AE-2A421D84F59D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0999" y="5658555"/>
          <a:ext cx="719666" cy="564445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169332</xdr:colOff>
      <xdr:row>15</xdr:row>
      <xdr:rowOff>37083</xdr:rowOff>
    </xdr:from>
    <xdr:to>
      <xdr:col>1</xdr:col>
      <xdr:colOff>892808</xdr:colOff>
      <xdr:row>15</xdr:row>
      <xdr:rowOff>609669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3FE38EC2-0E4E-364C-A2C6-BB935D526252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5110" y="6274194"/>
          <a:ext cx="719666" cy="572586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169333</xdr:colOff>
      <xdr:row>16</xdr:row>
      <xdr:rowOff>45122</xdr:rowOff>
    </xdr:from>
    <xdr:to>
      <xdr:col>1</xdr:col>
      <xdr:colOff>892809</xdr:colOff>
      <xdr:row>16</xdr:row>
      <xdr:rowOff>612502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17845414-0007-D94A-817B-8A3D244739DC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5111" y="6917233"/>
          <a:ext cx="719666" cy="56738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123826</xdr:colOff>
      <xdr:row>17</xdr:row>
      <xdr:rowOff>44238</xdr:rowOff>
    </xdr:from>
    <xdr:to>
      <xdr:col>1</xdr:col>
      <xdr:colOff>858098</xdr:colOff>
      <xdr:row>18</xdr:row>
      <xdr:rowOff>1858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648B1457-8A11-8F4E-88F9-88CA3BD9C174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33376" y="6349788"/>
          <a:ext cx="730462" cy="586270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169333</xdr:colOff>
      <xdr:row>18</xdr:row>
      <xdr:rowOff>28222</xdr:rowOff>
    </xdr:from>
    <xdr:to>
      <xdr:col>1</xdr:col>
      <xdr:colOff>821125</xdr:colOff>
      <xdr:row>18</xdr:row>
      <xdr:rowOff>612587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8209463C-623F-5C4B-BF4E-4C6E1E885506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5111" y="10075333"/>
          <a:ext cx="663222" cy="584365"/>
        </a:xfrm>
        <a:prstGeom prst="rect">
          <a:avLst/>
        </a:prstGeom>
      </xdr:spPr>
    </xdr:pic>
    <xdr:clientData/>
  </xdr:twoCellAnchor>
  <xdr:twoCellAnchor editAs="oneCell">
    <xdr:from>
      <xdr:col>1</xdr:col>
      <xdr:colOff>183445</xdr:colOff>
      <xdr:row>19</xdr:row>
      <xdr:rowOff>28223</xdr:rowOff>
    </xdr:from>
    <xdr:to>
      <xdr:col>1</xdr:col>
      <xdr:colOff>821409</xdr:colOff>
      <xdr:row>19</xdr:row>
      <xdr:rowOff>612589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203BB036-AA12-0444-9237-46EAD7C33298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09223" y="24680334"/>
          <a:ext cx="645584" cy="584366"/>
        </a:xfrm>
        <a:prstGeom prst="rect">
          <a:avLst/>
        </a:prstGeom>
      </xdr:spPr>
    </xdr:pic>
    <xdr:clientData/>
  </xdr:twoCellAnchor>
  <xdr:twoCellAnchor editAs="oneCell">
    <xdr:from>
      <xdr:col>1</xdr:col>
      <xdr:colOff>229306</xdr:colOff>
      <xdr:row>20</xdr:row>
      <xdr:rowOff>36524</xdr:rowOff>
    </xdr:from>
    <xdr:to>
      <xdr:col>1</xdr:col>
      <xdr:colOff>874890</xdr:colOff>
      <xdr:row>21</xdr:row>
      <xdr:rowOff>1766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3A7B5EA6-B14B-CF4B-95C4-E6A262F6AEE2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55084" y="25323635"/>
          <a:ext cx="645584" cy="584366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169334</xdr:colOff>
      <xdr:row>21</xdr:row>
      <xdr:rowOff>42333</xdr:rowOff>
    </xdr:from>
    <xdr:to>
      <xdr:col>1</xdr:col>
      <xdr:colOff>818728</xdr:colOff>
      <xdr:row>22</xdr:row>
      <xdr:rowOff>1858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E0B3198A-EC96-774E-9DE6-4B8E28690B8A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5112" y="26599444"/>
          <a:ext cx="645584" cy="584366"/>
        </a:xfrm>
        <a:prstGeom prst="rect">
          <a:avLst/>
        </a:prstGeom>
      </xdr:spPr>
    </xdr:pic>
    <xdr:clientData/>
  </xdr:twoCellAnchor>
  <xdr:twoCellAnchor editAs="oneCell">
    <xdr:from>
      <xdr:col>1</xdr:col>
      <xdr:colOff>215195</xdr:colOff>
      <xdr:row>22</xdr:row>
      <xdr:rowOff>50634</xdr:rowOff>
    </xdr:from>
    <xdr:to>
      <xdr:col>1</xdr:col>
      <xdr:colOff>856969</xdr:colOff>
      <xdr:row>23</xdr:row>
      <xdr:rowOff>0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8B51D174-D8B5-4243-B776-00DD57ABAD36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40973" y="27242745"/>
          <a:ext cx="645584" cy="584366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1524000</xdr:colOff>
      <xdr:row>1</xdr:row>
      <xdr:rowOff>38100</xdr:rowOff>
    </xdr:from>
    <xdr:to>
      <xdr:col>15</xdr:col>
      <xdr:colOff>381000</xdr:colOff>
      <xdr:row>1</xdr:row>
      <xdr:rowOff>592895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E3CF42C1-60EB-8B55-9025-356EB75B2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81500" y="177800"/>
          <a:ext cx="5969000" cy="550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f184@authenticfeet.com.br" TargetMode="External"/><Relationship Id="rId1" Type="http://schemas.openxmlformats.org/officeDocument/2006/relationships/hyperlink" Target="mailto:af184@authenticfeet.com.b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28"/>
  <sheetViews>
    <sheetView showGridLines="0" tabSelected="1" zoomScaleNormal="100" workbookViewId="0">
      <selection activeCell="C3" sqref="C3:H3"/>
    </sheetView>
  </sheetViews>
  <sheetFormatPr defaultColWidth="8.7109375" defaultRowHeight="15" x14ac:dyDescent="0.25"/>
  <cols>
    <col min="1" max="1" width="3" style="6" customWidth="1"/>
    <col min="2" max="2" width="13.42578125" style="6" customWidth="1"/>
    <col min="3" max="3" width="9.42578125" style="6" customWidth="1"/>
    <col min="4" max="4" width="11.42578125" style="7" customWidth="1"/>
    <col min="5" max="5" width="28.28515625" style="7" bestFit="1" customWidth="1"/>
    <col min="6" max="16" width="6.42578125" style="6" customWidth="1"/>
    <col min="17" max="17" width="14.42578125" style="6" customWidth="1"/>
    <col min="18" max="18" width="14.140625" style="6" customWidth="1"/>
    <col min="19" max="19" width="11.7109375" style="6" bestFit="1" customWidth="1"/>
    <col min="20" max="20" width="13.42578125" style="6" customWidth="1"/>
    <col min="21" max="21" width="3.42578125" style="6" customWidth="1"/>
    <col min="22" max="22" width="1.140625" style="6" customWidth="1"/>
    <col min="23" max="25" width="31.42578125" style="6" customWidth="1"/>
    <col min="26" max="16384" width="8.7109375" style="6"/>
  </cols>
  <sheetData>
    <row r="1" spans="2:21" ht="11.25" customHeight="1" thickBot="1" x14ac:dyDescent="0.3"/>
    <row r="2" spans="2:21" ht="49.9" customHeight="1" thickBot="1" x14ac:dyDescent="0.35"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2"/>
    </row>
    <row r="3" spans="2:21" ht="37.5" customHeight="1" x14ac:dyDescent="0.25">
      <c r="B3" s="32" t="s">
        <v>18</v>
      </c>
      <c r="C3" s="36" t="s">
        <v>61</v>
      </c>
      <c r="D3" s="37"/>
      <c r="E3" s="37"/>
      <c r="F3" s="37"/>
      <c r="G3" s="37"/>
      <c r="H3" s="38"/>
      <c r="I3" s="34" t="s">
        <v>7</v>
      </c>
      <c r="J3" s="35"/>
      <c r="K3" s="39" t="s">
        <v>60</v>
      </c>
      <c r="L3" s="39"/>
      <c r="M3" s="39"/>
      <c r="N3" s="39"/>
      <c r="O3" s="39"/>
      <c r="P3" s="39"/>
      <c r="Q3" s="39"/>
      <c r="R3" s="33" t="s">
        <v>2</v>
      </c>
      <c r="S3" s="40" t="s">
        <v>58</v>
      </c>
      <c r="T3" s="40"/>
      <c r="U3" s="41"/>
    </row>
    <row r="4" spans="2:21" x14ac:dyDescent="0.25">
      <c r="B4" s="26" t="s">
        <v>3</v>
      </c>
      <c r="C4" s="42" t="s">
        <v>62</v>
      </c>
      <c r="D4" s="42"/>
      <c r="E4" s="42"/>
      <c r="F4" s="43" t="s">
        <v>19</v>
      </c>
      <c r="G4" s="44"/>
      <c r="H4" s="44"/>
      <c r="I4" s="45" t="s">
        <v>63</v>
      </c>
      <c r="J4" s="42"/>
      <c r="K4" s="42"/>
      <c r="L4" s="42"/>
      <c r="M4" s="42"/>
      <c r="N4" s="42"/>
      <c r="O4" s="42"/>
      <c r="P4" s="42"/>
      <c r="Q4" s="42"/>
      <c r="R4" s="27" t="s">
        <v>9</v>
      </c>
      <c r="S4" s="29"/>
      <c r="T4" s="30"/>
      <c r="U4" s="31"/>
    </row>
    <row r="5" spans="2:21" ht="28.5" customHeight="1" x14ac:dyDescent="0.25">
      <c r="B5" s="26" t="s">
        <v>4</v>
      </c>
      <c r="C5" s="46" t="s">
        <v>64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8"/>
      <c r="R5" s="27" t="s">
        <v>14</v>
      </c>
      <c r="S5" s="52" t="s">
        <v>59</v>
      </c>
      <c r="T5" s="47"/>
      <c r="U5" s="53"/>
    </row>
    <row r="6" spans="2:21" x14ac:dyDescent="0.25">
      <c r="B6" s="26" t="s">
        <v>5</v>
      </c>
      <c r="C6" s="46" t="s">
        <v>66</v>
      </c>
      <c r="D6" s="47"/>
      <c r="E6" s="47"/>
      <c r="F6" s="27" t="s">
        <v>6</v>
      </c>
      <c r="G6" s="42" t="s">
        <v>67</v>
      </c>
      <c r="H6" s="42"/>
      <c r="I6" s="43" t="s">
        <v>12</v>
      </c>
      <c r="J6" s="44"/>
      <c r="K6" s="46" t="s">
        <v>65</v>
      </c>
      <c r="L6" s="47"/>
      <c r="M6" s="48"/>
      <c r="N6" s="28" t="s">
        <v>10</v>
      </c>
      <c r="O6" s="46" t="s">
        <v>68</v>
      </c>
      <c r="P6" s="47"/>
      <c r="Q6" s="47"/>
      <c r="R6" s="47"/>
      <c r="S6" s="47"/>
      <c r="T6" s="47"/>
      <c r="U6" s="53"/>
    </row>
    <row r="7" spans="2:21" ht="25.5" x14ac:dyDescent="0.25">
      <c r="B7" s="26" t="s">
        <v>11</v>
      </c>
      <c r="C7" s="28"/>
      <c r="D7" s="52" t="s">
        <v>59</v>
      </c>
      <c r="E7" s="47"/>
      <c r="F7" s="47"/>
      <c r="G7" s="47"/>
      <c r="H7" s="48"/>
      <c r="I7" s="43" t="s">
        <v>1</v>
      </c>
      <c r="J7" s="44"/>
      <c r="K7" s="44"/>
      <c r="L7" s="42" t="s">
        <v>58</v>
      </c>
      <c r="M7" s="42"/>
      <c r="N7" s="42"/>
      <c r="O7" s="42"/>
      <c r="P7" s="42"/>
      <c r="Q7" s="42"/>
      <c r="R7" s="42"/>
      <c r="S7" s="42"/>
      <c r="T7" s="42"/>
      <c r="U7" s="54"/>
    </row>
    <row r="8" spans="2:21" ht="13.9" customHeight="1" x14ac:dyDescent="0.25">
      <c r="B8" s="56" t="s">
        <v>13</v>
      </c>
      <c r="C8" s="57"/>
      <c r="D8" s="49">
        <f>S8+45</f>
        <v>46184</v>
      </c>
      <c r="E8" s="47"/>
      <c r="F8" s="43" t="s">
        <v>20</v>
      </c>
      <c r="G8" s="44"/>
      <c r="H8" s="44"/>
      <c r="I8" s="55" t="s">
        <v>40</v>
      </c>
      <c r="J8" s="55"/>
      <c r="K8" s="55"/>
      <c r="L8" s="55"/>
      <c r="M8" s="55"/>
      <c r="N8" s="55"/>
      <c r="O8" s="55"/>
      <c r="P8" s="55"/>
      <c r="Q8" s="55"/>
      <c r="R8" s="27" t="s">
        <v>8</v>
      </c>
      <c r="S8" s="49">
        <v>46139</v>
      </c>
      <c r="T8" s="50"/>
      <c r="U8" s="51"/>
    </row>
    <row r="9" spans="2:21" ht="28.15" customHeight="1" thickBot="1" x14ac:dyDescent="0.3">
      <c r="B9" s="24" t="s">
        <v>41</v>
      </c>
      <c r="C9" s="83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5"/>
    </row>
    <row r="10" spans="2:21" ht="22.15" customHeight="1" thickBot="1" x14ac:dyDescent="0.3">
      <c r="B10" s="8" t="s">
        <v>15</v>
      </c>
      <c r="C10" s="9" t="s">
        <v>16</v>
      </c>
      <c r="D10" s="3" t="s">
        <v>17</v>
      </c>
      <c r="E10" s="3" t="s">
        <v>26</v>
      </c>
      <c r="F10" s="86" t="s">
        <v>25</v>
      </c>
      <c r="G10" s="88"/>
      <c r="H10" s="88"/>
      <c r="I10" s="89"/>
      <c r="J10" s="77" t="s">
        <v>27</v>
      </c>
      <c r="K10" s="78"/>
      <c r="L10" s="79"/>
      <c r="M10" s="86" t="s">
        <v>29</v>
      </c>
      <c r="N10" s="88"/>
      <c r="O10" s="88"/>
      <c r="P10" s="89"/>
      <c r="Q10" s="9" t="s">
        <v>0</v>
      </c>
      <c r="R10" s="9" t="s">
        <v>21</v>
      </c>
      <c r="S10" s="10" t="s">
        <v>42</v>
      </c>
      <c r="T10" s="86" t="s">
        <v>22</v>
      </c>
      <c r="U10" s="87"/>
    </row>
    <row r="11" spans="2:21" ht="3" customHeight="1" x14ac:dyDescent="0.25">
      <c r="B11" s="11"/>
      <c r="C11" s="1"/>
      <c r="D11" s="4"/>
      <c r="E11" s="4"/>
      <c r="F11" s="58"/>
      <c r="G11" s="59"/>
      <c r="H11" s="59"/>
      <c r="I11" s="60"/>
      <c r="J11" s="58"/>
      <c r="K11" s="59"/>
      <c r="L11" s="60"/>
      <c r="M11" s="58"/>
      <c r="N11" s="59"/>
      <c r="O11" s="59"/>
      <c r="P11" s="60"/>
      <c r="Q11" s="15"/>
      <c r="R11" s="2"/>
      <c r="S11" s="16"/>
      <c r="T11" s="64"/>
      <c r="U11" s="65"/>
    </row>
    <row r="12" spans="2:21" ht="49.9" customHeight="1" x14ac:dyDescent="0.25">
      <c r="B12" s="11"/>
      <c r="C12" s="1" t="s">
        <v>44</v>
      </c>
      <c r="D12" s="4" t="s">
        <v>30</v>
      </c>
      <c r="E12" s="4" t="s">
        <v>35</v>
      </c>
      <c r="F12" s="58" t="s">
        <v>37</v>
      </c>
      <c r="G12" s="59"/>
      <c r="H12" s="59"/>
      <c r="I12" s="60"/>
      <c r="J12" s="61" t="s">
        <v>33</v>
      </c>
      <c r="K12" s="62"/>
      <c r="L12" s="63"/>
      <c r="M12" s="61" t="s">
        <v>34</v>
      </c>
      <c r="N12" s="62"/>
      <c r="O12" s="62"/>
      <c r="P12" s="63"/>
      <c r="Q12" s="15">
        <v>11.96</v>
      </c>
      <c r="R12" s="23">
        <v>29.99</v>
      </c>
      <c r="S12" s="16">
        <v>50</v>
      </c>
      <c r="T12" s="66">
        <f t="shared" ref="T12:T16" si="0">Q12*S12</f>
        <v>598</v>
      </c>
      <c r="U12" s="67"/>
    </row>
    <row r="13" spans="2:21" ht="49.9" customHeight="1" x14ac:dyDescent="0.25">
      <c r="B13" s="11"/>
      <c r="C13" s="1" t="s">
        <v>45</v>
      </c>
      <c r="D13" s="5" t="s">
        <v>31</v>
      </c>
      <c r="E13" s="4" t="s">
        <v>35</v>
      </c>
      <c r="F13" s="58" t="s">
        <v>38</v>
      </c>
      <c r="G13" s="59"/>
      <c r="H13" s="59"/>
      <c r="I13" s="60"/>
      <c r="J13" s="61" t="s">
        <v>33</v>
      </c>
      <c r="K13" s="62"/>
      <c r="L13" s="63"/>
      <c r="M13" s="58" t="s">
        <v>34</v>
      </c>
      <c r="N13" s="59"/>
      <c r="O13" s="59"/>
      <c r="P13" s="60"/>
      <c r="Q13" s="15">
        <v>11.96</v>
      </c>
      <c r="R13" s="23">
        <v>29.99</v>
      </c>
      <c r="S13" s="16">
        <v>50</v>
      </c>
      <c r="T13" s="64">
        <f t="shared" si="0"/>
        <v>598</v>
      </c>
      <c r="U13" s="65"/>
    </row>
    <row r="14" spans="2:21" ht="49.9" customHeight="1" x14ac:dyDescent="0.25">
      <c r="B14" s="11"/>
      <c r="C14" s="1" t="s">
        <v>46</v>
      </c>
      <c r="D14" s="5" t="s">
        <v>23</v>
      </c>
      <c r="E14" s="4" t="s">
        <v>35</v>
      </c>
      <c r="F14" s="58" t="s">
        <v>39</v>
      </c>
      <c r="G14" s="59"/>
      <c r="H14" s="59"/>
      <c r="I14" s="60"/>
      <c r="J14" s="61" t="s">
        <v>33</v>
      </c>
      <c r="K14" s="62"/>
      <c r="L14" s="63"/>
      <c r="M14" s="58" t="s">
        <v>34</v>
      </c>
      <c r="N14" s="59"/>
      <c r="O14" s="59"/>
      <c r="P14" s="60"/>
      <c r="Q14" s="15">
        <v>11.96</v>
      </c>
      <c r="R14" s="23">
        <v>29.99</v>
      </c>
      <c r="S14" s="16">
        <v>50</v>
      </c>
      <c r="T14" s="64">
        <f t="shared" si="0"/>
        <v>598</v>
      </c>
      <c r="U14" s="65"/>
    </row>
    <row r="15" spans="2:21" ht="49.9" customHeight="1" x14ac:dyDescent="0.25">
      <c r="B15" s="11"/>
      <c r="C15" s="1" t="s">
        <v>47</v>
      </c>
      <c r="D15" s="4" t="s">
        <v>30</v>
      </c>
      <c r="E15" s="4" t="s">
        <v>35</v>
      </c>
      <c r="F15" s="58" t="s">
        <v>37</v>
      </c>
      <c r="G15" s="59"/>
      <c r="H15" s="59"/>
      <c r="I15" s="60"/>
      <c r="J15" s="61" t="s">
        <v>28</v>
      </c>
      <c r="K15" s="62"/>
      <c r="L15" s="63"/>
      <c r="M15" s="58" t="s">
        <v>34</v>
      </c>
      <c r="N15" s="59"/>
      <c r="O15" s="59"/>
      <c r="P15" s="60"/>
      <c r="Q15" s="15">
        <v>11.96</v>
      </c>
      <c r="R15" s="23">
        <v>29.99</v>
      </c>
      <c r="S15" s="16">
        <v>50</v>
      </c>
      <c r="T15" s="64">
        <f t="shared" si="0"/>
        <v>598</v>
      </c>
      <c r="U15" s="65"/>
    </row>
    <row r="16" spans="2:21" ht="49.9" customHeight="1" x14ac:dyDescent="0.25">
      <c r="B16" s="11"/>
      <c r="C16" s="1" t="s">
        <v>48</v>
      </c>
      <c r="D16" s="5" t="s">
        <v>31</v>
      </c>
      <c r="E16" s="4" t="s">
        <v>35</v>
      </c>
      <c r="F16" s="58" t="s">
        <v>38</v>
      </c>
      <c r="G16" s="59"/>
      <c r="H16" s="59"/>
      <c r="I16" s="60"/>
      <c r="J16" s="61" t="s">
        <v>28</v>
      </c>
      <c r="K16" s="62"/>
      <c r="L16" s="63"/>
      <c r="M16" s="58" t="s">
        <v>34</v>
      </c>
      <c r="N16" s="59"/>
      <c r="O16" s="59"/>
      <c r="P16" s="60"/>
      <c r="Q16" s="15">
        <v>11.96</v>
      </c>
      <c r="R16" s="23">
        <v>29.99</v>
      </c>
      <c r="S16" s="16">
        <v>50</v>
      </c>
      <c r="T16" s="64">
        <f t="shared" si="0"/>
        <v>598</v>
      </c>
      <c r="U16" s="65"/>
    </row>
    <row r="17" spans="2:21" ht="49.9" customHeight="1" x14ac:dyDescent="0.25">
      <c r="B17" s="11"/>
      <c r="C17" s="1" t="s">
        <v>49</v>
      </c>
      <c r="D17" s="5" t="s">
        <v>23</v>
      </c>
      <c r="E17" s="4" t="s">
        <v>35</v>
      </c>
      <c r="F17" s="58" t="s">
        <v>39</v>
      </c>
      <c r="G17" s="59"/>
      <c r="H17" s="59"/>
      <c r="I17" s="60"/>
      <c r="J17" s="61" t="s">
        <v>28</v>
      </c>
      <c r="K17" s="62"/>
      <c r="L17" s="63"/>
      <c r="M17" s="58" t="s">
        <v>34</v>
      </c>
      <c r="N17" s="59"/>
      <c r="O17" s="59"/>
      <c r="P17" s="60"/>
      <c r="Q17" s="15">
        <v>11.96</v>
      </c>
      <c r="R17" s="23">
        <v>29.99</v>
      </c>
      <c r="S17" s="16">
        <v>50</v>
      </c>
      <c r="T17" s="66">
        <f t="shared" ref="T17:T19" si="1">Q17*S17</f>
        <v>598</v>
      </c>
      <c r="U17" s="67"/>
    </row>
    <row r="18" spans="2:21" ht="49.9" customHeight="1" x14ac:dyDescent="0.25">
      <c r="B18" s="11"/>
      <c r="C18" s="1" t="s">
        <v>50</v>
      </c>
      <c r="D18" s="5" t="s">
        <v>30</v>
      </c>
      <c r="E18" s="4" t="s">
        <v>36</v>
      </c>
      <c r="F18" s="58" t="s">
        <v>37</v>
      </c>
      <c r="G18" s="59"/>
      <c r="H18" s="59"/>
      <c r="I18" s="60"/>
      <c r="J18" s="61" t="s">
        <v>33</v>
      </c>
      <c r="K18" s="62"/>
      <c r="L18" s="63"/>
      <c r="M18" s="58" t="s">
        <v>34</v>
      </c>
      <c r="N18" s="59"/>
      <c r="O18" s="59"/>
      <c r="P18" s="60"/>
      <c r="Q18" s="15">
        <v>14.94</v>
      </c>
      <c r="R18" s="22">
        <v>34.99</v>
      </c>
      <c r="S18" s="16">
        <v>20</v>
      </c>
      <c r="T18" s="64">
        <f t="shared" si="1"/>
        <v>298.8</v>
      </c>
      <c r="U18" s="65"/>
    </row>
    <row r="19" spans="2:21" ht="49.9" customHeight="1" x14ac:dyDescent="0.25">
      <c r="B19" s="11"/>
      <c r="C19" s="1" t="s">
        <v>51</v>
      </c>
      <c r="D19" s="5" t="s">
        <v>30</v>
      </c>
      <c r="E19" s="4" t="s">
        <v>36</v>
      </c>
      <c r="F19" s="58" t="s">
        <v>37</v>
      </c>
      <c r="G19" s="59"/>
      <c r="H19" s="59"/>
      <c r="I19" s="60"/>
      <c r="J19" s="61" t="s">
        <v>28</v>
      </c>
      <c r="K19" s="62"/>
      <c r="L19" s="63"/>
      <c r="M19" s="58" t="s">
        <v>34</v>
      </c>
      <c r="N19" s="59"/>
      <c r="O19" s="59"/>
      <c r="P19" s="60"/>
      <c r="Q19" s="15">
        <v>14.94</v>
      </c>
      <c r="R19" s="22">
        <v>34.99</v>
      </c>
      <c r="S19" s="16">
        <v>20</v>
      </c>
      <c r="T19" s="64">
        <f t="shared" si="1"/>
        <v>298.8</v>
      </c>
      <c r="U19" s="65"/>
    </row>
    <row r="20" spans="2:21" ht="49.9" customHeight="1" x14ac:dyDescent="0.25">
      <c r="B20" s="17"/>
      <c r="C20" s="20" t="s">
        <v>52</v>
      </c>
      <c r="D20" s="5" t="s">
        <v>32</v>
      </c>
      <c r="E20" s="5" t="s">
        <v>43</v>
      </c>
      <c r="F20" s="58" t="s">
        <v>56</v>
      </c>
      <c r="G20" s="59"/>
      <c r="H20" s="59"/>
      <c r="I20" s="60"/>
      <c r="J20" s="61" t="s">
        <v>33</v>
      </c>
      <c r="K20" s="62"/>
      <c r="L20" s="63"/>
      <c r="M20" s="58" t="s">
        <v>34</v>
      </c>
      <c r="N20" s="59"/>
      <c r="O20" s="59"/>
      <c r="P20" s="60"/>
      <c r="Q20" s="18">
        <v>15.32</v>
      </c>
      <c r="R20" s="21">
        <v>39.99</v>
      </c>
      <c r="S20" s="19">
        <v>50</v>
      </c>
      <c r="T20" s="64">
        <f t="shared" ref="T20" si="2">Q20*S20</f>
        <v>766</v>
      </c>
      <c r="U20" s="65"/>
    </row>
    <row r="21" spans="2:21" ht="49.9" customHeight="1" x14ac:dyDescent="0.25">
      <c r="B21" s="11"/>
      <c r="C21" s="20" t="s">
        <v>53</v>
      </c>
      <c r="D21" s="5" t="s">
        <v>24</v>
      </c>
      <c r="E21" s="5" t="s">
        <v>43</v>
      </c>
      <c r="F21" s="58" t="s">
        <v>57</v>
      </c>
      <c r="G21" s="59"/>
      <c r="H21" s="59"/>
      <c r="I21" s="60"/>
      <c r="J21" s="61" t="s">
        <v>33</v>
      </c>
      <c r="K21" s="62"/>
      <c r="L21" s="63"/>
      <c r="M21" s="58" t="s">
        <v>34</v>
      </c>
      <c r="N21" s="59"/>
      <c r="O21" s="59"/>
      <c r="P21" s="60"/>
      <c r="Q21" s="18">
        <v>15.32</v>
      </c>
      <c r="R21" s="21">
        <v>39.99</v>
      </c>
      <c r="S21" s="16">
        <v>50</v>
      </c>
      <c r="T21" s="64">
        <f t="shared" ref="T21:T23" si="3">Q21*S21</f>
        <v>766</v>
      </c>
      <c r="U21" s="65"/>
    </row>
    <row r="22" spans="2:21" ht="49.9" customHeight="1" x14ac:dyDescent="0.25">
      <c r="B22" s="11"/>
      <c r="C22" s="20" t="s">
        <v>54</v>
      </c>
      <c r="D22" s="4" t="s">
        <v>32</v>
      </c>
      <c r="E22" s="5" t="s">
        <v>43</v>
      </c>
      <c r="F22" s="58" t="s">
        <v>56</v>
      </c>
      <c r="G22" s="59"/>
      <c r="H22" s="59"/>
      <c r="I22" s="60"/>
      <c r="J22" s="61" t="s">
        <v>28</v>
      </c>
      <c r="K22" s="62"/>
      <c r="L22" s="63"/>
      <c r="M22" s="58" t="s">
        <v>34</v>
      </c>
      <c r="N22" s="59"/>
      <c r="O22" s="59"/>
      <c r="P22" s="60"/>
      <c r="Q22" s="18">
        <v>15.32</v>
      </c>
      <c r="R22" s="21">
        <v>39.99</v>
      </c>
      <c r="S22" s="16">
        <v>50</v>
      </c>
      <c r="T22" s="64">
        <f t="shared" si="3"/>
        <v>766</v>
      </c>
      <c r="U22" s="65"/>
    </row>
    <row r="23" spans="2:21" ht="49.9" customHeight="1" x14ac:dyDescent="0.25">
      <c r="B23" s="11"/>
      <c r="C23" s="20" t="s">
        <v>55</v>
      </c>
      <c r="D23" s="5" t="s">
        <v>24</v>
      </c>
      <c r="E23" s="5" t="s">
        <v>43</v>
      </c>
      <c r="F23" s="58" t="s">
        <v>57</v>
      </c>
      <c r="G23" s="59"/>
      <c r="H23" s="59"/>
      <c r="I23" s="60"/>
      <c r="J23" s="61" t="s">
        <v>28</v>
      </c>
      <c r="K23" s="62"/>
      <c r="L23" s="63"/>
      <c r="M23" s="58" t="s">
        <v>34</v>
      </c>
      <c r="N23" s="59"/>
      <c r="O23" s="59"/>
      <c r="P23" s="60"/>
      <c r="Q23" s="18">
        <v>15.32</v>
      </c>
      <c r="R23" s="21">
        <v>39.99</v>
      </c>
      <c r="S23" s="16">
        <v>50</v>
      </c>
      <c r="T23" s="64">
        <f t="shared" si="3"/>
        <v>766</v>
      </c>
      <c r="U23" s="65"/>
    </row>
    <row r="24" spans="2:21" ht="3" customHeight="1" x14ac:dyDescent="0.25">
      <c r="B24" s="11"/>
      <c r="C24" s="1"/>
      <c r="D24" s="4"/>
      <c r="E24" s="4"/>
      <c r="F24" s="58"/>
      <c r="G24" s="59"/>
      <c r="H24" s="59"/>
      <c r="I24" s="60"/>
      <c r="J24" s="58"/>
      <c r="K24" s="59"/>
      <c r="L24" s="60"/>
      <c r="M24" s="58"/>
      <c r="N24" s="59"/>
      <c r="O24" s="59"/>
      <c r="P24" s="60"/>
      <c r="Q24" s="15"/>
      <c r="R24" s="22"/>
      <c r="S24" s="16"/>
      <c r="T24" s="64"/>
      <c r="U24" s="65"/>
    </row>
    <row r="25" spans="2:21" x14ac:dyDescent="0.25">
      <c r="B25" s="71"/>
      <c r="C25" s="72"/>
      <c r="D25" s="73"/>
      <c r="E25" s="12"/>
      <c r="F25" s="76"/>
      <c r="G25" s="72"/>
      <c r="H25" s="72"/>
      <c r="I25" s="73"/>
      <c r="J25" s="76"/>
      <c r="K25" s="72"/>
      <c r="L25" s="73"/>
      <c r="M25" s="76"/>
      <c r="N25" s="72"/>
      <c r="O25" s="72"/>
      <c r="P25" s="73"/>
      <c r="Q25" s="13"/>
      <c r="R25" s="13"/>
      <c r="S25" s="25">
        <f>SUM(S12:S24)</f>
        <v>540</v>
      </c>
      <c r="T25" s="74">
        <f>SUM(T12:U24)</f>
        <v>7249.6</v>
      </c>
      <c r="U25" s="75"/>
    </row>
    <row r="26" spans="2:21" ht="9" customHeight="1" thickBot="1" x14ac:dyDescent="0.3"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70"/>
    </row>
    <row r="28" spans="2:21" x14ac:dyDescent="0.25">
      <c r="T28" s="14"/>
    </row>
  </sheetData>
  <mergeCells count="90">
    <mergeCell ref="J10:L10"/>
    <mergeCell ref="T11:U11"/>
    <mergeCell ref="B2:U2"/>
    <mergeCell ref="C9:U9"/>
    <mergeCell ref="T24:U24"/>
    <mergeCell ref="F11:I11"/>
    <mergeCell ref="J11:L11"/>
    <mergeCell ref="T15:U15"/>
    <mergeCell ref="T10:U10"/>
    <mergeCell ref="M10:P10"/>
    <mergeCell ref="M12:P12"/>
    <mergeCell ref="M13:P13"/>
    <mergeCell ref="M14:P14"/>
    <mergeCell ref="T13:U13"/>
    <mergeCell ref="T14:U14"/>
    <mergeCell ref="F10:I10"/>
    <mergeCell ref="B26:U26"/>
    <mergeCell ref="B25:D25"/>
    <mergeCell ref="T25:U25"/>
    <mergeCell ref="T12:U12"/>
    <mergeCell ref="T16:U16"/>
    <mergeCell ref="J16:L16"/>
    <mergeCell ref="M25:P25"/>
    <mergeCell ref="F25:I25"/>
    <mergeCell ref="J25:L25"/>
    <mergeCell ref="F15:I15"/>
    <mergeCell ref="F16:I16"/>
    <mergeCell ref="J12:L12"/>
    <mergeCell ref="J13:L13"/>
    <mergeCell ref="J14:L14"/>
    <mergeCell ref="J15:L15"/>
    <mergeCell ref="F14:I14"/>
    <mergeCell ref="M11:P11"/>
    <mergeCell ref="F17:I17"/>
    <mergeCell ref="J17:L17"/>
    <mergeCell ref="M17:P17"/>
    <mergeCell ref="M15:P15"/>
    <mergeCell ref="M16:P16"/>
    <mergeCell ref="F12:I12"/>
    <mergeCell ref="F13:I13"/>
    <mergeCell ref="T17:U17"/>
    <mergeCell ref="F18:I18"/>
    <mergeCell ref="J18:L18"/>
    <mergeCell ref="M18:P18"/>
    <mergeCell ref="T18:U18"/>
    <mergeCell ref="F19:I19"/>
    <mergeCell ref="J19:L19"/>
    <mergeCell ref="M19:P19"/>
    <mergeCell ref="T19:U19"/>
    <mergeCell ref="F21:I21"/>
    <mergeCell ref="J21:L21"/>
    <mergeCell ref="M21:P21"/>
    <mergeCell ref="T21:U21"/>
    <mergeCell ref="F20:I20"/>
    <mergeCell ref="J20:L20"/>
    <mergeCell ref="M20:P20"/>
    <mergeCell ref="T20:U20"/>
    <mergeCell ref="T22:U22"/>
    <mergeCell ref="F23:I23"/>
    <mergeCell ref="J23:L23"/>
    <mergeCell ref="M23:P23"/>
    <mergeCell ref="T23:U23"/>
    <mergeCell ref="F24:I24"/>
    <mergeCell ref="J24:L24"/>
    <mergeCell ref="M24:P24"/>
    <mergeCell ref="F22:I22"/>
    <mergeCell ref="J22:L22"/>
    <mergeCell ref="M22:P22"/>
    <mergeCell ref="C5:Q5"/>
    <mergeCell ref="S8:U8"/>
    <mergeCell ref="S5:U5"/>
    <mergeCell ref="G6:H6"/>
    <mergeCell ref="O6:U6"/>
    <mergeCell ref="I7:K7"/>
    <mergeCell ref="L7:U7"/>
    <mergeCell ref="I6:J6"/>
    <mergeCell ref="K6:M6"/>
    <mergeCell ref="C6:E6"/>
    <mergeCell ref="D8:E8"/>
    <mergeCell ref="D7:H7"/>
    <mergeCell ref="I8:Q8"/>
    <mergeCell ref="F8:H8"/>
    <mergeCell ref="B8:C8"/>
    <mergeCell ref="I3:J3"/>
    <mergeCell ref="C3:H3"/>
    <mergeCell ref="K3:Q3"/>
    <mergeCell ref="S3:U3"/>
    <mergeCell ref="C4:E4"/>
    <mergeCell ref="F4:H4"/>
    <mergeCell ref="I4:Q4"/>
  </mergeCells>
  <phoneticPr fontId="1" type="noConversion"/>
  <hyperlinks>
    <hyperlink ref="S5" r:id="rId1" xr:uid="{84331952-CB2C-4E96-895B-2145CE1789C2}"/>
    <hyperlink ref="D7" r:id="rId2" xr:uid="{8DB31BA2-13FB-471B-BF02-EA7BFC4C4036}"/>
  </hyperlinks>
  <pageMargins left="0.511811024" right="0.511811024" top="0.78740157499999996" bottom="0.78740157499999996" header="0.31496062000000002" footer="0.31496062000000002"/>
  <pageSetup paperSize="9" scale="73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</dc:creator>
  <cp:lastModifiedBy>Grazielly Gomes Araujo</cp:lastModifiedBy>
  <cp:lastPrinted>2018-12-06T16:46:30Z</cp:lastPrinted>
  <dcterms:created xsi:type="dcterms:W3CDTF">2010-08-02T13:51:18Z</dcterms:created>
  <dcterms:modified xsi:type="dcterms:W3CDTF">2026-04-28T10:55:54Z</dcterms:modified>
</cp:coreProperties>
</file>