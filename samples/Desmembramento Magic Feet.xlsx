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a66f066e68a1d63/Desktop/"/>
    </mc:Choice>
  </mc:AlternateContent>
  <xr:revisionPtr revIDLastSave="73" documentId="8_{BEC67FB1-D0C9-4F82-AF40-1DBE50C1E7DE}" xr6:coauthVersionLast="47" xr6:coauthVersionMax="47" xr10:uidLastSave="{16F247BB-AADC-4CEC-A647-C27EE1EF021E}"/>
  <bookViews>
    <workbookView xWindow="-108" yWindow="-108" windowWidth="23256" windowHeight="12456" xr2:uid="{033E27CC-4C2D-1149-9B58-57C8001D1DD4}"/>
  </bookViews>
  <sheets>
    <sheet name="Infantil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2" l="1"/>
  <c r="N2" i="2"/>
  <c r="U2" i="2"/>
  <c r="T2" i="2"/>
  <c r="S2" i="2"/>
  <c r="R2" i="2"/>
  <c r="Q2" i="2"/>
  <c r="P2" i="2"/>
  <c r="O2" i="2"/>
  <c r="M2" i="2"/>
  <c r="U51" i="2" l="1"/>
  <c r="U50" i="2"/>
  <c r="U49" i="2"/>
  <c r="U48" i="2"/>
  <c r="U47" i="2"/>
  <c r="U46" i="2"/>
  <c r="U45" i="2"/>
  <c r="U44" i="2"/>
  <c r="U43" i="2"/>
  <c r="U42" i="2"/>
  <c r="U41" i="2"/>
  <c r="U40" i="2"/>
  <c r="U39" i="2"/>
  <c r="U38" i="2"/>
  <c r="U37" i="2"/>
  <c r="U36" i="2"/>
  <c r="U35" i="2"/>
  <c r="U34" i="2"/>
  <c r="U33" i="2"/>
  <c r="U32" i="2"/>
  <c r="U31" i="2"/>
  <c r="U30" i="2"/>
  <c r="U29" i="2"/>
  <c r="U28" i="2"/>
  <c r="U27" i="2"/>
  <c r="U26" i="2"/>
  <c r="U25" i="2"/>
  <c r="U24" i="2"/>
  <c r="U23" i="2"/>
  <c r="U22" i="2"/>
  <c r="U21" i="2"/>
  <c r="U20" i="2"/>
  <c r="U19" i="2"/>
  <c r="U18" i="2"/>
  <c r="U17" i="2"/>
  <c r="U16" i="2"/>
  <c r="U15" i="2"/>
  <c r="U14" i="2"/>
  <c r="U13" i="2"/>
  <c r="U12" i="2"/>
  <c r="U11" i="2"/>
  <c r="U10" i="2"/>
  <c r="U9" i="2"/>
  <c r="U8" i="2"/>
  <c r="U7" i="2"/>
  <c r="U3" i="2" l="1"/>
  <c r="L3" i="2"/>
  <c r="K21" i="2"/>
  <c r="K20" i="2"/>
  <c r="K19" i="2"/>
  <c r="K18" i="2"/>
  <c r="K17" i="2"/>
  <c r="K16" i="2"/>
  <c r="K15" i="2"/>
  <c r="K14" i="2"/>
  <c r="K13" i="2"/>
  <c r="K12" i="2"/>
  <c r="K36" i="2"/>
  <c r="K35" i="2"/>
  <c r="K34" i="2"/>
  <c r="K33" i="2"/>
  <c r="K32" i="2"/>
  <c r="K31" i="2"/>
  <c r="K30" i="2"/>
  <c r="K29" i="2"/>
  <c r="K28" i="2"/>
  <c r="K27" i="2"/>
  <c r="K51" i="2"/>
  <c r="K50" i="2"/>
  <c r="K49" i="2"/>
  <c r="K48" i="2"/>
  <c r="K47" i="2"/>
  <c r="K46" i="2"/>
  <c r="K45" i="2"/>
  <c r="K44" i="2"/>
  <c r="K43" i="2"/>
  <c r="K42" i="2"/>
  <c r="K41" i="2" l="1"/>
  <c r="K40" i="2"/>
  <c r="K39" i="2"/>
  <c r="K38" i="2"/>
  <c r="K37" i="2"/>
  <c r="K26" i="2"/>
  <c r="K25" i="2"/>
  <c r="K24" i="2"/>
  <c r="K23" i="2"/>
  <c r="K22" i="2"/>
  <c r="K11" i="2"/>
  <c r="K10" i="2"/>
  <c r="K9" i="2"/>
  <c r="K8" i="2"/>
  <c r="K7" i="2"/>
</calcChain>
</file>

<file path=xl/sharedStrings.xml><?xml version="1.0" encoding="utf-8"?>
<sst xmlns="http://schemas.openxmlformats.org/spreadsheetml/2006/main" count="272" uniqueCount="45">
  <si>
    <t>Kit 3</t>
  </si>
  <si>
    <t>Meia Cano Baixo Infantil</t>
  </si>
  <si>
    <t>Meia Cano Medio Infantil</t>
  </si>
  <si>
    <t>Produto</t>
  </si>
  <si>
    <t>Apresentação</t>
  </si>
  <si>
    <t>Custo</t>
  </si>
  <si>
    <t>Sugestão PDV</t>
  </si>
  <si>
    <t>Mark up</t>
  </si>
  <si>
    <t>Cor</t>
  </si>
  <si>
    <t>Branco</t>
  </si>
  <si>
    <t>Preto</t>
  </si>
  <si>
    <t>Rosa</t>
  </si>
  <si>
    <t>Marinho</t>
  </si>
  <si>
    <t>Cinza</t>
  </si>
  <si>
    <t>Meia Cano Longo Infantil</t>
  </si>
  <si>
    <t>PRODUTOS SEM TOALHA</t>
  </si>
  <si>
    <t>Foto</t>
  </si>
  <si>
    <t>Tamanhos</t>
  </si>
  <si>
    <t>19-22</t>
  </si>
  <si>
    <t>23-27</t>
  </si>
  <si>
    <t>28-33</t>
  </si>
  <si>
    <t>MF</t>
  </si>
  <si>
    <t>CÓDIGO</t>
  </si>
  <si>
    <t>COR</t>
  </si>
  <si>
    <t>MFK3C-B-</t>
  </si>
  <si>
    <t>005</t>
  </si>
  <si>
    <t>001</t>
  </si>
  <si>
    <t>MFK3C-L-</t>
  </si>
  <si>
    <t>AF056</t>
  </si>
  <si>
    <t>AF200</t>
  </si>
  <si>
    <t>AF018</t>
  </si>
  <si>
    <t>AF179</t>
  </si>
  <si>
    <t>AW044</t>
  </si>
  <si>
    <t>AW045</t>
  </si>
  <si>
    <t>MF060</t>
  </si>
  <si>
    <t>AF184</t>
  </si>
  <si>
    <t>Total</t>
  </si>
  <si>
    <t>05.055.599/0029-85</t>
  </si>
  <si>
    <t>05.055.599/0026-32</t>
  </si>
  <si>
    <t>05.055.599/0028-02</t>
  </si>
  <si>
    <t>05.055.599/0043-33</t>
  </si>
  <si>
    <t>05.055.599/0008-50</t>
  </si>
  <si>
    <t>05.055.599/0027-13</t>
  </si>
  <si>
    <t>05.055.599/0009-31</t>
  </si>
  <si>
    <t>10.389.941/0001-12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</si>
</sst>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1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44" fontId="0" fillId="2" borderId="1" xfId="1" applyFont="1" applyFill="1" applyBorder="1" applyAlignment="1">
      <alignment horizontal="center" vertical="center" wrapText="1"/>
    </xf>
    <xf numFmtId="44" fontId="0" fillId="0" borderId="1" xfId="0" applyNumberForma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" fontId="0" fillId="2" borderId="0" xfId="2" applyNumberFormat="1" applyFont="1" applyFill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1" fontId="0" fillId="2" borderId="1" xfId="1" applyNumberFormat="1" applyFont="1" applyFill="1" applyBorder="1" applyAlignment="1">
      <alignment horizontal="center" vertical="center" wrapText="1"/>
    </xf>
    <xf numFmtId="1" fontId="0" fillId="2" borderId="0" xfId="0" applyNumberFormat="1" applyFill="1" applyAlignment="1">
      <alignment horizontal="center" vertical="center" wrapText="1"/>
    </xf>
    <xf numFmtId="3" fontId="0" fillId="2" borderId="1" xfId="1" applyNumberFormat="1" applyFont="1" applyFill="1" applyBorder="1" applyAlignment="1">
      <alignment horizontal="center" vertical="center" wrapText="1"/>
    </xf>
    <xf numFmtId="1" fontId="0" fillId="2" borderId="0" xfId="2" applyNumberFormat="1" applyFont="1" applyFill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0" fillId="2" borderId="0" xfId="0" applyFill="1" applyAlignment="1">
      <alignment vertical="center" wrapText="1"/>
    </xf>
    <xf numFmtId="164" fontId="0" fillId="2" borderId="1" xfId="2" applyNumberFormat="1" applyFont="1" applyFill="1" applyBorder="1" applyAlignment="1">
      <alignment vertical="center" wrapText="1"/>
    </xf>
    <xf numFmtId="164" fontId="0" fillId="2" borderId="0" xfId="2" applyNumberFormat="1" applyFont="1" applyFill="1" applyAlignment="1">
      <alignment vertical="center" wrapText="1"/>
    </xf>
    <xf numFmtId="0" fontId="0" fillId="2" borderId="0" xfId="0" applyFill="1" applyAlignment="1">
      <alignment horizontal="center" vertical="center" wrapText="1"/>
    </xf>
    <xf numFmtId="0" fontId="0" fillId="2" borderId="1" xfId="3" applyNumberFormat="1" applyFont="1" applyFill="1" applyBorder="1" applyAlignment="1">
      <alignment horizontal="center" vertical="center" wrapText="1"/>
    </xf>
    <xf numFmtId="1" fontId="3" fillId="2" borderId="0" xfId="0" applyNumberFormat="1" applyFont="1" applyFill="1" applyAlignment="1">
      <alignment horizontal="center" vertical="center" wrapText="1"/>
    </xf>
    <xf numFmtId="0" fontId="0" fillId="2" borderId="1" xfId="0" quotePrefix="1" applyFill="1" applyBorder="1" applyAlignment="1">
      <alignment horizontal="center" vertical="center" wrapText="1"/>
    </xf>
    <xf numFmtId="44" fontId="0" fillId="2" borderId="0" xfId="1" applyFont="1" applyFill="1" applyAlignment="1">
      <alignment horizontal="center" vertical="center" wrapText="1"/>
    </xf>
    <xf numFmtId="1" fontId="4" fillId="5" borderId="0" xfId="0" applyNumberFormat="1" applyFont="1" applyFill="1" applyAlignment="1">
      <alignment horizontal="center" vertical="center" wrapText="1"/>
    </xf>
    <xf numFmtId="0" fontId="2" fillId="3" borderId="2" xfId="0" applyFont="1" applyFill="1" applyBorder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0" fillId="0" borderId="1" xfId="0" applyBorder="1" applyAlignment="1">
      <alignment horizontal="center" vertical="center"/>
    </xf>
    <xf numFmtId="1" fontId="0" fillId="2" borderId="0" xfId="1" applyNumberFormat="1" applyFont="1" applyFill="1" applyAlignment="1">
      <alignment horizontal="center" vertical="center" wrapText="1"/>
    </xf>
  </cellXfs>
  <cellStyles count="5">
    <cellStyle name="Moeda" xfId="1" builtinId="4"/>
    <cellStyle name="Moeda 2" xfId="3" xr:uid="{6D58F711-79CC-4C42-A77C-8731D37FFF19}"/>
    <cellStyle name="Normal" xfId="0" builtinId="0"/>
    <cellStyle name="Vírgula" xfId="2" builtinId="3"/>
    <cellStyle name="Vírgula 2" xfId="4" xr:uid="{8B0E3282-3FCE-48AD-B3B8-2B54E7DDFD65}"/>
  </cellStyles>
  <dxfs count="11">
    <dxf>
      <fill>
        <patternFill>
          <fgColor theme="5" tint="0.59996337778862885"/>
          <bgColor theme="5" tint="0.59996337778862885"/>
        </patternFill>
      </fill>
    </dxf>
    <dxf>
      <fill>
        <patternFill>
          <fgColor theme="9" tint="0.79998168889431442"/>
          <bgColor theme="9" tint="0.79998168889431442"/>
        </patternFill>
      </fill>
    </dxf>
    <dxf>
      <fill>
        <patternFill>
          <fgColor theme="7" tint="0.79998168889431442"/>
          <bgColor theme="7" tint="0.79998168889431442"/>
        </patternFill>
      </fill>
    </dxf>
    <dxf>
      <fill>
        <patternFill>
          <fgColor theme="5" tint="0.59996337778862885"/>
          <bgColor theme="5" tint="0.59996337778862885"/>
        </patternFill>
      </fill>
    </dxf>
    <dxf>
      <fill>
        <patternFill>
          <fgColor theme="4" tint="0.59996337778862885"/>
          <bgColor theme="4" tint="0.59996337778862885"/>
        </patternFill>
      </fill>
    </dxf>
    <dxf>
      <fill>
        <patternFill>
          <fgColor theme="9" tint="0.59996337778862885"/>
          <bgColor theme="9" tint="0.59996337778862885"/>
        </patternFill>
      </fill>
    </dxf>
    <dxf>
      <fill>
        <patternFill>
          <fgColor theme="5" tint="0.59996337778862885"/>
          <bgColor theme="5" tint="0.59996337778862885"/>
        </patternFill>
      </fill>
    </dxf>
    <dxf>
      <fill>
        <patternFill>
          <fgColor theme="9" tint="0.79998168889431442"/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theme="9" tint="0.79998168889431442"/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png"/><Relationship Id="rId7" Type="http://schemas.openxmlformats.org/officeDocument/2006/relationships/image" Target="../media/image7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31751</xdr:colOff>
      <xdr:row>6</xdr:row>
      <xdr:rowOff>104775</xdr:rowOff>
    </xdr:from>
    <xdr:to>
      <xdr:col>1</xdr:col>
      <xdr:colOff>847725</xdr:colOff>
      <xdr:row>6</xdr:row>
      <xdr:rowOff>838200</xdr:rowOff>
    </xdr:to>
    <xdr:pic>
      <xdr:nvPicPr>
        <xdr:cNvPr id="46" name="Imagem 45">
          <a:extLst>
            <a:ext uri="{FF2B5EF4-FFF2-40B4-BE49-F238E27FC236}">
              <a16:creationId xmlns:a16="http://schemas.microsoft.com/office/drawing/2014/main" id="{D7B18658-B441-4440-9FD0-8C399F185AD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460376" y="1704975"/>
          <a:ext cx="815974" cy="733425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1</xdr:col>
      <xdr:colOff>93376</xdr:colOff>
      <xdr:row>10</xdr:row>
      <xdr:rowOff>47625</xdr:rowOff>
    </xdr:from>
    <xdr:to>
      <xdr:col>1</xdr:col>
      <xdr:colOff>1039751</xdr:colOff>
      <xdr:row>10</xdr:row>
      <xdr:rowOff>904850</xdr:rowOff>
    </xdr:to>
    <xdr:pic>
      <xdr:nvPicPr>
        <xdr:cNvPr id="47" name="Imagem 46">
          <a:extLst>
            <a:ext uri="{FF2B5EF4-FFF2-40B4-BE49-F238E27FC236}">
              <a16:creationId xmlns:a16="http://schemas.microsoft.com/office/drawing/2014/main" id="{8D6144A9-E706-6047-81EC-D507F2E493D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25176" y="37626925"/>
          <a:ext cx="943200" cy="860400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1</xdr:col>
      <xdr:colOff>85103</xdr:colOff>
      <xdr:row>7</xdr:row>
      <xdr:rowOff>47625</xdr:rowOff>
    </xdr:from>
    <xdr:to>
      <xdr:col>1</xdr:col>
      <xdr:colOff>1028303</xdr:colOff>
      <xdr:row>7</xdr:row>
      <xdr:rowOff>904850</xdr:rowOff>
    </xdr:to>
    <xdr:pic>
      <xdr:nvPicPr>
        <xdr:cNvPr id="48" name="Imagem 47">
          <a:extLst>
            <a:ext uri="{FF2B5EF4-FFF2-40B4-BE49-F238E27FC236}">
              <a16:creationId xmlns:a16="http://schemas.microsoft.com/office/drawing/2014/main" id="{81A019D2-D87D-5B48-9AB9-C31B0B6303A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16903" y="34883725"/>
          <a:ext cx="943200" cy="860400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1</xdr:col>
      <xdr:colOff>105502</xdr:colOff>
      <xdr:row>9</xdr:row>
      <xdr:rowOff>31750</xdr:rowOff>
    </xdr:from>
    <xdr:to>
      <xdr:col>1</xdr:col>
      <xdr:colOff>1048702</xdr:colOff>
      <xdr:row>9</xdr:row>
      <xdr:rowOff>888975</xdr:rowOff>
    </xdr:to>
    <xdr:pic>
      <xdr:nvPicPr>
        <xdr:cNvPr id="49" name="Imagem 48">
          <a:extLst>
            <a:ext uri="{FF2B5EF4-FFF2-40B4-BE49-F238E27FC236}">
              <a16:creationId xmlns:a16="http://schemas.microsoft.com/office/drawing/2014/main" id="{6A409E86-0EAD-9044-85EC-F1BA545706B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37302" y="36696650"/>
          <a:ext cx="943200" cy="860400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1</xdr:col>
      <xdr:colOff>79375</xdr:colOff>
      <xdr:row>8</xdr:row>
      <xdr:rowOff>47625</xdr:rowOff>
    </xdr:from>
    <xdr:to>
      <xdr:col>1</xdr:col>
      <xdr:colOff>1019400</xdr:colOff>
      <xdr:row>8</xdr:row>
      <xdr:rowOff>904850</xdr:rowOff>
    </xdr:to>
    <xdr:pic>
      <xdr:nvPicPr>
        <xdr:cNvPr id="50" name="Imagem 49">
          <a:extLst>
            <a:ext uri="{FF2B5EF4-FFF2-40B4-BE49-F238E27FC236}">
              <a16:creationId xmlns:a16="http://schemas.microsoft.com/office/drawing/2014/main" id="{DA4F2796-D23E-194B-A646-E331D2D41E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11175" y="35798125"/>
          <a:ext cx="943200" cy="860400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1</xdr:col>
      <xdr:colOff>33734</xdr:colOff>
      <xdr:row>23</xdr:row>
      <xdr:rowOff>41253</xdr:rowOff>
    </xdr:from>
    <xdr:to>
      <xdr:col>1</xdr:col>
      <xdr:colOff>980109</xdr:colOff>
      <xdr:row>23</xdr:row>
      <xdr:rowOff>904828</xdr:rowOff>
    </xdr:to>
    <xdr:pic>
      <xdr:nvPicPr>
        <xdr:cNvPr id="51" name="Imagem 50" descr="Desenho preto e branco&#10;&#10;O conteúdo gerado por IA pode estar incorreto.">
          <a:extLst>
            <a:ext uri="{FF2B5EF4-FFF2-40B4-BE49-F238E27FC236}">
              <a16:creationId xmlns:a16="http://schemas.microsoft.com/office/drawing/2014/main" id="{A1773E68-68EB-1A41-8DE9-06885C6E3C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465534" y="40439953"/>
          <a:ext cx="943200" cy="860400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1</xdr:col>
      <xdr:colOff>55055</xdr:colOff>
      <xdr:row>24</xdr:row>
      <xdr:rowOff>44276</xdr:rowOff>
    </xdr:from>
    <xdr:to>
      <xdr:col>1</xdr:col>
      <xdr:colOff>1001430</xdr:colOff>
      <xdr:row>24</xdr:row>
      <xdr:rowOff>907851</xdr:rowOff>
    </xdr:to>
    <xdr:pic>
      <xdr:nvPicPr>
        <xdr:cNvPr id="52" name="Imagem 51" descr="Desenho preto e branco&#10;&#10;O conteúdo gerado por IA pode estar incorreto.">
          <a:extLst>
            <a:ext uri="{FF2B5EF4-FFF2-40B4-BE49-F238E27FC236}">
              <a16:creationId xmlns:a16="http://schemas.microsoft.com/office/drawing/2014/main" id="{6D9509A1-A2F8-3740-A6A1-A35B27CD61A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486855" y="41357376"/>
          <a:ext cx="943200" cy="860400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1</xdr:col>
      <xdr:colOff>87797</xdr:colOff>
      <xdr:row>25</xdr:row>
      <xdr:rowOff>50118</xdr:rowOff>
    </xdr:from>
    <xdr:to>
      <xdr:col>1</xdr:col>
      <xdr:colOff>952500</xdr:colOff>
      <xdr:row>25</xdr:row>
      <xdr:rowOff>777876</xdr:rowOff>
    </xdr:to>
    <xdr:pic>
      <xdr:nvPicPr>
        <xdr:cNvPr id="53" name="Imagem 52" descr="Desenho preto e branco&#10;&#10;O conteúdo gerado por IA pode estar incorreto.">
          <a:extLst>
            <a:ext uri="{FF2B5EF4-FFF2-40B4-BE49-F238E27FC236}">
              <a16:creationId xmlns:a16="http://schemas.microsoft.com/office/drawing/2014/main" id="{A6325C31-9CCB-4E42-8952-71FAA57C779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16422" y="9336993"/>
          <a:ext cx="864703" cy="727758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1</xdr:col>
      <xdr:colOff>42354</xdr:colOff>
      <xdr:row>22</xdr:row>
      <xdr:rowOff>63500</xdr:rowOff>
    </xdr:from>
    <xdr:to>
      <xdr:col>1</xdr:col>
      <xdr:colOff>982379</xdr:colOff>
      <xdr:row>23</xdr:row>
      <xdr:rowOff>3148</xdr:rowOff>
    </xdr:to>
    <xdr:pic>
      <xdr:nvPicPr>
        <xdr:cNvPr id="54" name="Imagem 53">
          <a:extLst>
            <a:ext uri="{FF2B5EF4-FFF2-40B4-BE49-F238E27FC236}">
              <a16:creationId xmlns:a16="http://schemas.microsoft.com/office/drawing/2014/main" id="{1091C23D-0904-D047-8B68-7FF8160A6F4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74154" y="39547800"/>
          <a:ext cx="943200" cy="854049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1</xdr:col>
      <xdr:colOff>63500</xdr:colOff>
      <xdr:row>21</xdr:row>
      <xdr:rowOff>44276</xdr:rowOff>
    </xdr:from>
    <xdr:to>
      <xdr:col>1</xdr:col>
      <xdr:colOff>1006700</xdr:colOff>
      <xdr:row>21</xdr:row>
      <xdr:rowOff>907851</xdr:rowOff>
    </xdr:to>
    <xdr:pic>
      <xdr:nvPicPr>
        <xdr:cNvPr id="55" name="Imagem 54">
          <a:extLst>
            <a:ext uri="{FF2B5EF4-FFF2-40B4-BE49-F238E27FC236}">
              <a16:creationId xmlns:a16="http://schemas.microsoft.com/office/drawing/2014/main" id="{F7127D90-BB8D-ED45-BD11-86FB023C88A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95300" y="38614176"/>
          <a:ext cx="943200" cy="860400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1</xdr:col>
      <xdr:colOff>63500</xdr:colOff>
      <xdr:row>38</xdr:row>
      <xdr:rowOff>44602</xdr:rowOff>
    </xdr:from>
    <xdr:to>
      <xdr:col>1</xdr:col>
      <xdr:colOff>1006700</xdr:colOff>
      <xdr:row>38</xdr:row>
      <xdr:rowOff>901827</xdr:rowOff>
    </xdr:to>
    <xdr:pic>
      <xdr:nvPicPr>
        <xdr:cNvPr id="56" name="Imagem 55" descr="Desenho preto e branco&#10;&#10;O conteúdo gerado por IA pode estar incorreto.">
          <a:extLst>
            <a:ext uri="{FF2B5EF4-FFF2-40B4-BE49-F238E27FC236}">
              <a16:creationId xmlns:a16="http://schemas.microsoft.com/office/drawing/2014/main" id="{AEFE9484-8F56-7045-9C7F-F33ADC8A646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495300" y="45091502"/>
          <a:ext cx="943200" cy="860400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1</xdr:col>
      <xdr:colOff>84821</xdr:colOff>
      <xdr:row>39</xdr:row>
      <xdr:rowOff>47625</xdr:rowOff>
    </xdr:from>
    <xdr:to>
      <xdr:col>1</xdr:col>
      <xdr:colOff>1028021</xdr:colOff>
      <xdr:row>39</xdr:row>
      <xdr:rowOff>904850</xdr:rowOff>
    </xdr:to>
    <xdr:pic>
      <xdr:nvPicPr>
        <xdr:cNvPr id="57" name="Imagem 56" descr="Desenho preto e branco&#10;&#10;O conteúdo gerado por IA pode estar incorreto.">
          <a:extLst>
            <a:ext uri="{FF2B5EF4-FFF2-40B4-BE49-F238E27FC236}">
              <a16:creationId xmlns:a16="http://schemas.microsoft.com/office/drawing/2014/main" id="{4EDC294A-A4C4-524A-B077-14B7C2AA277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16621" y="46008925"/>
          <a:ext cx="943200" cy="860400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1</xdr:col>
      <xdr:colOff>117563</xdr:colOff>
      <xdr:row>40</xdr:row>
      <xdr:rowOff>37591</xdr:rowOff>
    </xdr:from>
    <xdr:to>
      <xdr:col>1</xdr:col>
      <xdr:colOff>1057588</xdr:colOff>
      <xdr:row>40</xdr:row>
      <xdr:rowOff>897991</xdr:rowOff>
    </xdr:to>
    <xdr:pic>
      <xdr:nvPicPr>
        <xdr:cNvPr id="58" name="Imagem 57" descr="Desenho preto e branco&#10;&#10;O conteúdo gerado por IA pode estar incorreto.">
          <a:extLst>
            <a:ext uri="{FF2B5EF4-FFF2-40B4-BE49-F238E27FC236}">
              <a16:creationId xmlns:a16="http://schemas.microsoft.com/office/drawing/2014/main" id="{3D287A27-35E3-2B41-8D85-BB3ECFAC59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49363" y="46913291"/>
          <a:ext cx="943200" cy="860400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1</xdr:col>
      <xdr:colOff>72120</xdr:colOff>
      <xdr:row>37</xdr:row>
      <xdr:rowOff>66849</xdr:rowOff>
    </xdr:from>
    <xdr:to>
      <xdr:col>1</xdr:col>
      <xdr:colOff>1018495</xdr:colOff>
      <xdr:row>38</xdr:row>
      <xdr:rowOff>9674</xdr:rowOff>
    </xdr:to>
    <xdr:pic>
      <xdr:nvPicPr>
        <xdr:cNvPr id="59" name="Imagem 58">
          <a:extLst>
            <a:ext uri="{FF2B5EF4-FFF2-40B4-BE49-F238E27FC236}">
              <a16:creationId xmlns:a16="http://schemas.microsoft.com/office/drawing/2014/main" id="{A038EF93-99A6-9848-B2AD-AF590CF01F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03920" y="44199349"/>
          <a:ext cx="943200" cy="854050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1</xdr:col>
      <xdr:colOff>93266</xdr:colOff>
      <xdr:row>36</xdr:row>
      <xdr:rowOff>47625</xdr:rowOff>
    </xdr:from>
    <xdr:to>
      <xdr:col>1</xdr:col>
      <xdr:colOff>1039641</xdr:colOff>
      <xdr:row>36</xdr:row>
      <xdr:rowOff>904850</xdr:rowOff>
    </xdr:to>
    <xdr:pic>
      <xdr:nvPicPr>
        <xdr:cNvPr id="60" name="Imagem 59">
          <a:extLst>
            <a:ext uri="{FF2B5EF4-FFF2-40B4-BE49-F238E27FC236}">
              <a16:creationId xmlns:a16="http://schemas.microsoft.com/office/drawing/2014/main" id="{C9BD23FF-C232-3947-883A-37A6D14FE39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25066" y="43265725"/>
          <a:ext cx="943200" cy="860400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oneCellAnchor>
    <xdr:from>
      <xdr:col>1</xdr:col>
      <xdr:colOff>63500</xdr:colOff>
      <xdr:row>43</xdr:row>
      <xdr:rowOff>44602</xdr:rowOff>
    </xdr:from>
    <xdr:ext cx="943200" cy="860400"/>
    <xdr:pic>
      <xdr:nvPicPr>
        <xdr:cNvPr id="2" name="Imagem 1" descr="Desenho preto e branco&#10;&#10;O conteúdo gerado por IA pode estar incorreto.">
          <a:extLst>
            <a:ext uri="{FF2B5EF4-FFF2-40B4-BE49-F238E27FC236}">
              <a16:creationId xmlns:a16="http://schemas.microsoft.com/office/drawing/2014/main" id="{E4A02777-768D-4F58-957D-3B2B348480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492125" y="12149290"/>
          <a:ext cx="943200" cy="860400"/>
        </a:xfrm>
        <a:prstGeom prst="rect">
          <a:avLst/>
        </a:prstGeom>
        <a:ln>
          <a:solidFill>
            <a:schemeClr val="bg1"/>
          </a:solidFill>
        </a:ln>
      </xdr:spPr>
    </xdr:pic>
    <xdr:clientData/>
  </xdr:oneCellAnchor>
  <xdr:oneCellAnchor>
    <xdr:from>
      <xdr:col>1</xdr:col>
      <xdr:colOff>84821</xdr:colOff>
      <xdr:row>44</xdr:row>
      <xdr:rowOff>47625</xdr:rowOff>
    </xdr:from>
    <xdr:ext cx="943200" cy="860400"/>
    <xdr:pic>
      <xdr:nvPicPr>
        <xdr:cNvPr id="3" name="Imagem 2" descr="Desenho preto e branco&#10;&#10;O conteúdo gerado por IA pode estar incorreto.">
          <a:extLst>
            <a:ext uri="{FF2B5EF4-FFF2-40B4-BE49-F238E27FC236}">
              <a16:creationId xmlns:a16="http://schemas.microsoft.com/office/drawing/2014/main" id="{6B48DD51-DCBC-4061-B3C6-864A0AFF92D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13446" y="13065125"/>
          <a:ext cx="943200" cy="860400"/>
        </a:xfrm>
        <a:prstGeom prst="rect">
          <a:avLst/>
        </a:prstGeom>
        <a:ln>
          <a:solidFill>
            <a:schemeClr val="bg1"/>
          </a:solidFill>
        </a:ln>
      </xdr:spPr>
    </xdr:pic>
    <xdr:clientData/>
  </xdr:oneCellAnchor>
  <xdr:oneCellAnchor>
    <xdr:from>
      <xdr:col>1</xdr:col>
      <xdr:colOff>117563</xdr:colOff>
      <xdr:row>45</xdr:row>
      <xdr:rowOff>37591</xdr:rowOff>
    </xdr:from>
    <xdr:ext cx="943200" cy="860400"/>
    <xdr:pic>
      <xdr:nvPicPr>
        <xdr:cNvPr id="4" name="Imagem 3" descr="Desenho preto e branco&#10;&#10;O conteúdo gerado por IA pode estar incorreto.">
          <a:extLst>
            <a:ext uri="{FF2B5EF4-FFF2-40B4-BE49-F238E27FC236}">
              <a16:creationId xmlns:a16="http://schemas.microsoft.com/office/drawing/2014/main" id="{832105B7-32D4-4EB5-9A3F-A80A5FF2D82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46188" y="13967904"/>
          <a:ext cx="943200" cy="860400"/>
        </a:xfrm>
        <a:prstGeom prst="rect">
          <a:avLst/>
        </a:prstGeom>
        <a:ln>
          <a:solidFill>
            <a:schemeClr val="bg1"/>
          </a:solidFill>
        </a:ln>
      </xdr:spPr>
    </xdr:pic>
    <xdr:clientData/>
  </xdr:oneCellAnchor>
  <xdr:oneCellAnchor>
    <xdr:from>
      <xdr:col>1</xdr:col>
      <xdr:colOff>72120</xdr:colOff>
      <xdr:row>42</xdr:row>
      <xdr:rowOff>66849</xdr:rowOff>
    </xdr:from>
    <xdr:ext cx="943200" cy="852463"/>
    <xdr:pic>
      <xdr:nvPicPr>
        <xdr:cNvPr id="5" name="Imagem 4">
          <a:extLst>
            <a:ext uri="{FF2B5EF4-FFF2-40B4-BE49-F238E27FC236}">
              <a16:creationId xmlns:a16="http://schemas.microsoft.com/office/drawing/2014/main" id="{BF08EA27-6519-4D7E-B29B-0E64E83FB65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00745" y="11258724"/>
          <a:ext cx="943200" cy="852463"/>
        </a:xfrm>
        <a:prstGeom prst="rect">
          <a:avLst/>
        </a:prstGeom>
        <a:ln>
          <a:solidFill>
            <a:schemeClr val="bg1"/>
          </a:solidFill>
        </a:ln>
      </xdr:spPr>
    </xdr:pic>
    <xdr:clientData/>
  </xdr:oneCellAnchor>
  <xdr:oneCellAnchor>
    <xdr:from>
      <xdr:col>1</xdr:col>
      <xdr:colOff>93266</xdr:colOff>
      <xdr:row>41</xdr:row>
      <xdr:rowOff>47625</xdr:rowOff>
    </xdr:from>
    <xdr:ext cx="943200" cy="860400"/>
    <xdr:pic>
      <xdr:nvPicPr>
        <xdr:cNvPr id="6" name="Imagem 5">
          <a:extLst>
            <a:ext uri="{FF2B5EF4-FFF2-40B4-BE49-F238E27FC236}">
              <a16:creationId xmlns:a16="http://schemas.microsoft.com/office/drawing/2014/main" id="{5875C308-5A2F-4081-9B79-D9AEABD0663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21891" y="10326688"/>
          <a:ext cx="943200" cy="860400"/>
        </a:xfrm>
        <a:prstGeom prst="rect">
          <a:avLst/>
        </a:prstGeom>
        <a:ln>
          <a:solidFill>
            <a:schemeClr val="bg1"/>
          </a:solidFill>
        </a:ln>
      </xdr:spPr>
    </xdr:pic>
    <xdr:clientData/>
  </xdr:oneCellAnchor>
  <xdr:oneCellAnchor>
    <xdr:from>
      <xdr:col>1</xdr:col>
      <xdr:colOff>63500</xdr:colOff>
      <xdr:row>48</xdr:row>
      <xdr:rowOff>44602</xdr:rowOff>
    </xdr:from>
    <xdr:ext cx="943200" cy="860400"/>
    <xdr:pic>
      <xdr:nvPicPr>
        <xdr:cNvPr id="7" name="Imagem 6" descr="Desenho preto e branco&#10;&#10;O conteúdo gerado por IA pode estar incorreto.">
          <a:extLst>
            <a:ext uri="{FF2B5EF4-FFF2-40B4-BE49-F238E27FC236}">
              <a16:creationId xmlns:a16="http://schemas.microsoft.com/office/drawing/2014/main" id="{5C188614-53C7-46EC-BC96-CAFB0C1F18A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492125" y="16911790"/>
          <a:ext cx="943200" cy="860400"/>
        </a:xfrm>
        <a:prstGeom prst="rect">
          <a:avLst/>
        </a:prstGeom>
        <a:ln>
          <a:solidFill>
            <a:schemeClr val="bg1"/>
          </a:solidFill>
        </a:ln>
      </xdr:spPr>
    </xdr:pic>
    <xdr:clientData/>
  </xdr:oneCellAnchor>
  <xdr:oneCellAnchor>
    <xdr:from>
      <xdr:col>1</xdr:col>
      <xdr:colOff>84821</xdr:colOff>
      <xdr:row>49</xdr:row>
      <xdr:rowOff>47625</xdr:rowOff>
    </xdr:from>
    <xdr:ext cx="943200" cy="860400"/>
    <xdr:pic>
      <xdr:nvPicPr>
        <xdr:cNvPr id="8" name="Imagem 7" descr="Desenho preto e branco&#10;&#10;O conteúdo gerado por IA pode estar incorreto.">
          <a:extLst>
            <a:ext uri="{FF2B5EF4-FFF2-40B4-BE49-F238E27FC236}">
              <a16:creationId xmlns:a16="http://schemas.microsoft.com/office/drawing/2014/main" id="{542DD6E5-0319-493D-B59E-74F5E7FD4CD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13446" y="17827625"/>
          <a:ext cx="943200" cy="860400"/>
        </a:xfrm>
        <a:prstGeom prst="rect">
          <a:avLst/>
        </a:prstGeom>
        <a:ln>
          <a:solidFill>
            <a:schemeClr val="bg1"/>
          </a:solidFill>
        </a:ln>
      </xdr:spPr>
    </xdr:pic>
    <xdr:clientData/>
  </xdr:oneCellAnchor>
  <xdr:oneCellAnchor>
    <xdr:from>
      <xdr:col>1</xdr:col>
      <xdr:colOff>117563</xdr:colOff>
      <xdr:row>50</xdr:row>
      <xdr:rowOff>37591</xdr:rowOff>
    </xdr:from>
    <xdr:ext cx="943200" cy="860400"/>
    <xdr:pic>
      <xdr:nvPicPr>
        <xdr:cNvPr id="9" name="Imagem 8" descr="Desenho preto e branco&#10;&#10;O conteúdo gerado por IA pode estar incorreto.">
          <a:extLst>
            <a:ext uri="{FF2B5EF4-FFF2-40B4-BE49-F238E27FC236}">
              <a16:creationId xmlns:a16="http://schemas.microsoft.com/office/drawing/2014/main" id="{F5D1EB3C-4ED5-42AA-9A10-68A607C4FA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46188" y="18730404"/>
          <a:ext cx="943200" cy="860400"/>
        </a:xfrm>
        <a:prstGeom prst="rect">
          <a:avLst/>
        </a:prstGeom>
        <a:ln>
          <a:solidFill>
            <a:schemeClr val="bg1"/>
          </a:solidFill>
        </a:ln>
      </xdr:spPr>
    </xdr:pic>
    <xdr:clientData/>
  </xdr:oneCellAnchor>
  <xdr:oneCellAnchor>
    <xdr:from>
      <xdr:col>1</xdr:col>
      <xdr:colOff>72120</xdr:colOff>
      <xdr:row>47</xdr:row>
      <xdr:rowOff>66849</xdr:rowOff>
    </xdr:from>
    <xdr:ext cx="943200" cy="852463"/>
    <xdr:pic>
      <xdr:nvPicPr>
        <xdr:cNvPr id="10" name="Imagem 9">
          <a:extLst>
            <a:ext uri="{FF2B5EF4-FFF2-40B4-BE49-F238E27FC236}">
              <a16:creationId xmlns:a16="http://schemas.microsoft.com/office/drawing/2014/main" id="{4C631488-3873-4253-9868-9A5F0762C16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00745" y="16021224"/>
          <a:ext cx="943200" cy="852463"/>
        </a:xfrm>
        <a:prstGeom prst="rect">
          <a:avLst/>
        </a:prstGeom>
        <a:ln>
          <a:solidFill>
            <a:schemeClr val="bg1"/>
          </a:solidFill>
        </a:ln>
      </xdr:spPr>
    </xdr:pic>
    <xdr:clientData/>
  </xdr:oneCellAnchor>
  <xdr:oneCellAnchor>
    <xdr:from>
      <xdr:col>1</xdr:col>
      <xdr:colOff>93266</xdr:colOff>
      <xdr:row>46</xdr:row>
      <xdr:rowOff>47625</xdr:rowOff>
    </xdr:from>
    <xdr:ext cx="943200" cy="860400"/>
    <xdr:pic>
      <xdr:nvPicPr>
        <xdr:cNvPr id="11" name="Imagem 10">
          <a:extLst>
            <a:ext uri="{FF2B5EF4-FFF2-40B4-BE49-F238E27FC236}">
              <a16:creationId xmlns:a16="http://schemas.microsoft.com/office/drawing/2014/main" id="{4B2E6A96-E0F7-467C-941B-DEFAF9A4999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21891" y="15089188"/>
          <a:ext cx="943200" cy="860400"/>
        </a:xfrm>
        <a:prstGeom prst="rect">
          <a:avLst/>
        </a:prstGeom>
        <a:ln>
          <a:solidFill>
            <a:schemeClr val="bg1"/>
          </a:solidFill>
        </a:ln>
      </xdr:spPr>
    </xdr:pic>
    <xdr:clientData/>
  </xdr:oneCellAnchor>
  <xdr:oneCellAnchor>
    <xdr:from>
      <xdr:col>1</xdr:col>
      <xdr:colOff>33734</xdr:colOff>
      <xdr:row>28</xdr:row>
      <xdr:rowOff>41253</xdr:rowOff>
    </xdr:from>
    <xdr:ext cx="943200" cy="860400"/>
    <xdr:pic>
      <xdr:nvPicPr>
        <xdr:cNvPr id="22" name="Imagem 21" descr="Desenho preto e branco&#10;&#10;O conteúdo gerado por IA pode estar incorreto.">
          <a:extLst>
            <a:ext uri="{FF2B5EF4-FFF2-40B4-BE49-F238E27FC236}">
              <a16:creationId xmlns:a16="http://schemas.microsoft.com/office/drawing/2014/main" id="{921FFF22-EA27-4BF7-8CF3-4AC4F3B4C09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462359" y="7621566"/>
          <a:ext cx="943200" cy="860400"/>
        </a:xfrm>
        <a:prstGeom prst="rect">
          <a:avLst/>
        </a:prstGeom>
        <a:ln>
          <a:solidFill>
            <a:schemeClr val="bg1"/>
          </a:solidFill>
        </a:ln>
      </xdr:spPr>
    </xdr:pic>
    <xdr:clientData/>
  </xdr:oneCellAnchor>
  <xdr:oneCellAnchor>
    <xdr:from>
      <xdr:col>1</xdr:col>
      <xdr:colOff>55055</xdr:colOff>
      <xdr:row>29</xdr:row>
      <xdr:rowOff>44276</xdr:rowOff>
    </xdr:from>
    <xdr:ext cx="943200" cy="860400"/>
    <xdr:pic>
      <xdr:nvPicPr>
        <xdr:cNvPr id="23" name="Imagem 22" descr="Desenho preto e branco&#10;&#10;O conteúdo gerado por IA pode estar incorreto.">
          <a:extLst>
            <a:ext uri="{FF2B5EF4-FFF2-40B4-BE49-F238E27FC236}">
              <a16:creationId xmlns:a16="http://schemas.microsoft.com/office/drawing/2014/main" id="{8051835D-0F16-4D07-B1F1-F2E9751725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483680" y="8537401"/>
          <a:ext cx="943200" cy="860400"/>
        </a:xfrm>
        <a:prstGeom prst="rect">
          <a:avLst/>
        </a:prstGeom>
        <a:ln>
          <a:solidFill>
            <a:schemeClr val="bg1"/>
          </a:solidFill>
        </a:ln>
      </xdr:spPr>
    </xdr:pic>
    <xdr:clientData/>
  </xdr:oneCellAnchor>
  <xdr:oneCellAnchor>
    <xdr:from>
      <xdr:col>1</xdr:col>
      <xdr:colOff>87797</xdr:colOff>
      <xdr:row>30</xdr:row>
      <xdr:rowOff>50118</xdr:rowOff>
    </xdr:from>
    <xdr:ext cx="864703" cy="727758"/>
    <xdr:pic>
      <xdr:nvPicPr>
        <xdr:cNvPr id="24" name="Imagem 23" descr="Desenho preto e branco&#10;&#10;O conteúdo gerado por IA pode estar incorreto.">
          <a:extLst>
            <a:ext uri="{FF2B5EF4-FFF2-40B4-BE49-F238E27FC236}">
              <a16:creationId xmlns:a16="http://schemas.microsoft.com/office/drawing/2014/main" id="{CCAFBE11-0FA5-4E91-9DC4-ED214D7A99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16422" y="9456056"/>
          <a:ext cx="864703" cy="727758"/>
        </a:xfrm>
        <a:prstGeom prst="rect">
          <a:avLst/>
        </a:prstGeom>
        <a:ln>
          <a:solidFill>
            <a:schemeClr val="bg1"/>
          </a:solidFill>
        </a:ln>
      </xdr:spPr>
    </xdr:pic>
    <xdr:clientData/>
  </xdr:oneCellAnchor>
  <xdr:oneCellAnchor>
    <xdr:from>
      <xdr:col>1</xdr:col>
      <xdr:colOff>42354</xdr:colOff>
      <xdr:row>27</xdr:row>
      <xdr:rowOff>63500</xdr:rowOff>
    </xdr:from>
    <xdr:ext cx="943200" cy="852461"/>
    <xdr:pic>
      <xdr:nvPicPr>
        <xdr:cNvPr id="25" name="Imagem 24">
          <a:extLst>
            <a:ext uri="{FF2B5EF4-FFF2-40B4-BE49-F238E27FC236}">
              <a16:creationId xmlns:a16="http://schemas.microsoft.com/office/drawing/2014/main" id="{80BAF90E-3EFE-49A8-9086-5514B02599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70979" y="6731000"/>
          <a:ext cx="943200" cy="852461"/>
        </a:xfrm>
        <a:prstGeom prst="rect">
          <a:avLst/>
        </a:prstGeom>
        <a:ln>
          <a:solidFill>
            <a:schemeClr val="bg1"/>
          </a:solidFill>
        </a:ln>
      </xdr:spPr>
    </xdr:pic>
    <xdr:clientData/>
  </xdr:oneCellAnchor>
  <xdr:oneCellAnchor>
    <xdr:from>
      <xdr:col>1</xdr:col>
      <xdr:colOff>63500</xdr:colOff>
      <xdr:row>26</xdr:row>
      <xdr:rowOff>44276</xdr:rowOff>
    </xdr:from>
    <xdr:ext cx="943200" cy="860400"/>
    <xdr:pic>
      <xdr:nvPicPr>
        <xdr:cNvPr id="26" name="Imagem 25">
          <a:extLst>
            <a:ext uri="{FF2B5EF4-FFF2-40B4-BE49-F238E27FC236}">
              <a16:creationId xmlns:a16="http://schemas.microsoft.com/office/drawing/2014/main" id="{C03B1C60-406C-4537-89E7-15E83CFAFD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92125" y="5798964"/>
          <a:ext cx="943200" cy="860400"/>
        </a:xfrm>
        <a:prstGeom prst="rect">
          <a:avLst/>
        </a:prstGeom>
        <a:ln>
          <a:solidFill>
            <a:schemeClr val="bg1"/>
          </a:solidFill>
        </a:ln>
      </xdr:spPr>
    </xdr:pic>
    <xdr:clientData/>
  </xdr:oneCellAnchor>
  <xdr:oneCellAnchor>
    <xdr:from>
      <xdr:col>1</xdr:col>
      <xdr:colOff>42354</xdr:colOff>
      <xdr:row>32</xdr:row>
      <xdr:rowOff>15875</xdr:rowOff>
    </xdr:from>
    <xdr:ext cx="943200" cy="852461"/>
    <xdr:pic>
      <xdr:nvPicPr>
        <xdr:cNvPr id="30" name="Imagem 29">
          <a:extLst>
            <a:ext uri="{FF2B5EF4-FFF2-40B4-BE49-F238E27FC236}">
              <a16:creationId xmlns:a16="http://schemas.microsoft.com/office/drawing/2014/main" id="{7E4DDA74-0705-4006-B295-4533E689363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70979" y="25733375"/>
          <a:ext cx="943200" cy="852461"/>
        </a:xfrm>
        <a:prstGeom prst="rect">
          <a:avLst/>
        </a:prstGeom>
        <a:ln>
          <a:solidFill>
            <a:schemeClr val="bg1"/>
          </a:solidFill>
        </a:ln>
      </xdr:spPr>
    </xdr:pic>
    <xdr:clientData/>
  </xdr:oneCellAnchor>
  <xdr:oneCellAnchor>
    <xdr:from>
      <xdr:col>1</xdr:col>
      <xdr:colOff>63500</xdr:colOff>
      <xdr:row>31</xdr:row>
      <xdr:rowOff>44276</xdr:rowOff>
    </xdr:from>
    <xdr:ext cx="943200" cy="860400"/>
    <xdr:pic>
      <xdr:nvPicPr>
        <xdr:cNvPr id="31" name="Imagem 30">
          <a:extLst>
            <a:ext uri="{FF2B5EF4-FFF2-40B4-BE49-F238E27FC236}">
              <a16:creationId xmlns:a16="http://schemas.microsoft.com/office/drawing/2014/main" id="{13571B58-3C51-4572-A141-01FA98D5BC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92125" y="34373964"/>
          <a:ext cx="943200" cy="860400"/>
        </a:xfrm>
        <a:prstGeom prst="rect">
          <a:avLst/>
        </a:prstGeom>
        <a:ln>
          <a:solidFill>
            <a:schemeClr val="bg1"/>
          </a:solidFill>
        </a:ln>
      </xdr:spPr>
    </xdr:pic>
    <xdr:clientData/>
  </xdr:oneCellAnchor>
  <xdr:oneCellAnchor>
    <xdr:from>
      <xdr:col>1</xdr:col>
      <xdr:colOff>31750</xdr:colOff>
      <xdr:row>11</xdr:row>
      <xdr:rowOff>47625</xdr:rowOff>
    </xdr:from>
    <xdr:ext cx="943200" cy="860400"/>
    <xdr:pic>
      <xdr:nvPicPr>
        <xdr:cNvPr id="32" name="Imagem 31">
          <a:extLst>
            <a:ext uri="{FF2B5EF4-FFF2-40B4-BE49-F238E27FC236}">
              <a16:creationId xmlns:a16="http://schemas.microsoft.com/office/drawing/2014/main" id="{3597AC1F-6A88-4114-91FF-02FCDF2D288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460375" y="45331063"/>
          <a:ext cx="943200" cy="860400"/>
        </a:xfrm>
        <a:prstGeom prst="rect">
          <a:avLst/>
        </a:prstGeom>
        <a:ln>
          <a:solidFill>
            <a:schemeClr val="bg1"/>
          </a:solidFill>
        </a:ln>
      </xdr:spPr>
    </xdr:pic>
    <xdr:clientData/>
  </xdr:oneCellAnchor>
  <xdr:oneCellAnchor>
    <xdr:from>
      <xdr:col>1</xdr:col>
      <xdr:colOff>93376</xdr:colOff>
      <xdr:row>15</xdr:row>
      <xdr:rowOff>47625</xdr:rowOff>
    </xdr:from>
    <xdr:ext cx="943200" cy="860400"/>
    <xdr:pic>
      <xdr:nvPicPr>
        <xdr:cNvPr id="33" name="Imagem 32">
          <a:extLst>
            <a:ext uri="{FF2B5EF4-FFF2-40B4-BE49-F238E27FC236}">
              <a16:creationId xmlns:a16="http://schemas.microsoft.com/office/drawing/2014/main" id="{3B3AE936-D00A-4FB7-87DC-DA1971D6CEE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22001" y="48982313"/>
          <a:ext cx="943200" cy="860400"/>
        </a:xfrm>
        <a:prstGeom prst="rect">
          <a:avLst/>
        </a:prstGeom>
        <a:ln>
          <a:solidFill>
            <a:schemeClr val="bg1"/>
          </a:solidFill>
        </a:ln>
      </xdr:spPr>
    </xdr:pic>
    <xdr:clientData/>
  </xdr:oneCellAnchor>
  <xdr:oneCellAnchor>
    <xdr:from>
      <xdr:col>1</xdr:col>
      <xdr:colOff>85103</xdr:colOff>
      <xdr:row>12</xdr:row>
      <xdr:rowOff>47625</xdr:rowOff>
    </xdr:from>
    <xdr:ext cx="943200" cy="860400"/>
    <xdr:pic>
      <xdr:nvPicPr>
        <xdr:cNvPr id="34" name="Imagem 33">
          <a:extLst>
            <a:ext uri="{FF2B5EF4-FFF2-40B4-BE49-F238E27FC236}">
              <a16:creationId xmlns:a16="http://schemas.microsoft.com/office/drawing/2014/main" id="{21E6BA8F-A921-4F57-9846-EA724370D3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13728" y="46243875"/>
          <a:ext cx="943200" cy="860400"/>
        </a:xfrm>
        <a:prstGeom prst="rect">
          <a:avLst/>
        </a:prstGeom>
        <a:ln>
          <a:solidFill>
            <a:schemeClr val="bg1"/>
          </a:solidFill>
        </a:ln>
      </xdr:spPr>
    </xdr:pic>
    <xdr:clientData/>
  </xdr:oneCellAnchor>
  <xdr:oneCellAnchor>
    <xdr:from>
      <xdr:col>1</xdr:col>
      <xdr:colOff>105502</xdr:colOff>
      <xdr:row>14</xdr:row>
      <xdr:rowOff>31750</xdr:rowOff>
    </xdr:from>
    <xdr:ext cx="943200" cy="860400"/>
    <xdr:pic>
      <xdr:nvPicPr>
        <xdr:cNvPr id="35" name="Imagem 34">
          <a:extLst>
            <a:ext uri="{FF2B5EF4-FFF2-40B4-BE49-F238E27FC236}">
              <a16:creationId xmlns:a16="http://schemas.microsoft.com/office/drawing/2014/main" id="{FA07BA1E-ECFB-4629-86C7-5D6C2643E29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34127" y="48053625"/>
          <a:ext cx="943200" cy="860400"/>
        </a:xfrm>
        <a:prstGeom prst="rect">
          <a:avLst/>
        </a:prstGeom>
        <a:ln>
          <a:solidFill>
            <a:schemeClr val="bg1"/>
          </a:solidFill>
        </a:ln>
      </xdr:spPr>
    </xdr:pic>
    <xdr:clientData/>
  </xdr:oneCellAnchor>
  <xdr:oneCellAnchor>
    <xdr:from>
      <xdr:col>1</xdr:col>
      <xdr:colOff>79375</xdr:colOff>
      <xdr:row>13</xdr:row>
      <xdr:rowOff>47625</xdr:rowOff>
    </xdr:from>
    <xdr:ext cx="943200" cy="860400"/>
    <xdr:pic>
      <xdr:nvPicPr>
        <xdr:cNvPr id="36" name="Imagem 35">
          <a:extLst>
            <a:ext uri="{FF2B5EF4-FFF2-40B4-BE49-F238E27FC236}">
              <a16:creationId xmlns:a16="http://schemas.microsoft.com/office/drawing/2014/main" id="{8EF27C93-9823-4EAC-8E21-79E47A583BD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08000" y="47156688"/>
          <a:ext cx="943200" cy="860400"/>
        </a:xfrm>
        <a:prstGeom prst="rect">
          <a:avLst/>
        </a:prstGeom>
        <a:ln>
          <a:solidFill>
            <a:schemeClr val="bg1"/>
          </a:solidFill>
        </a:ln>
      </xdr:spPr>
    </xdr:pic>
    <xdr:clientData/>
  </xdr:oneCellAnchor>
  <xdr:oneCellAnchor>
    <xdr:from>
      <xdr:col>1</xdr:col>
      <xdr:colOff>31750</xdr:colOff>
      <xdr:row>16</xdr:row>
      <xdr:rowOff>47625</xdr:rowOff>
    </xdr:from>
    <xdr:ext cx="943200" cy="860400"/>
    <xdr:pic>
      <xdr:nvPicPr>
        <xdr:cNvPr id="37" name="Imagem 36">
          <a:extLst>
            <a:ext uri="{FF2B5EF4-FFF2-40B4-BE49-F238E27FC236}">
              <a16:creationId xmlns:a16="http://schemas.microsoft.com/office/drawing/2014/main" id="{D557C2F8-2184-496B-9054-322E76F0996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460375" y="50093563"/>
          <a:ext cx="943200" cy="860400"/>
        </a:xfrm>
        <a:prstGeom prst="rect">
          <a:avLst/>
        </a:prstGeom>
        <a:ln>
          <a:solidFill>
            <a:schemeClr val="bg1"/>
          </a:solidFill>
        </a:ln>
      </xdr:spPr>
    </xdr:pic>
    <xdr:clientData/>
  </xdr:oneCellAnchor>
  <xdr:oneCellAnchor>
    <xdr:from>
      <xdr:col>1</xdr:col>
      <xdr:colOff>93376</xdr:colOff>
      <xdr:row>20</xdr:row>
      <xdr:rowOff>47625</xdr:rowOff>
    </xdr:from>
    <xdr:ext cx="943200" cy="860400"/>
    <xdr:pic>
      <xdr:nvPicPr>
        <xdr:cNvPr id="38" name="Imagem 37">
          <a:extLst>
            <a:ext uri="{FF2B5EF4-FFF2-40B4-BE49-F238E27FC236}">
              <a16:creationId xmlns:a16="http://schemas.microsoft.com/office/drawing/2014/main" id="{A516F287-90A2-45E6-B500-CF18FA7C7A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22001" y="53744813"/>
          <a:ext cx="943200" cy="860400"/>
        </a:xfrm>
        <a:prstGeom prst="rect">
          <a:avLst/>
        </a:prstGeom>
        <a:ln>
          <a:solidFill>
            <a:schemeClr val="bg1"/>
          </a:solidFill>
        </a:ln>
      </xdr:spPr>
    </xdr:pic>
    <xdr:clientData/>
  </xdr:oneCellAnchor>
  <xdr:oneCellAnchor>
    <xdr:from>
      <xdr:col>1</xdr:col>
      <xdr:colOff>85103</xdr:colOff>
      <xdr:row>17</xdr:row>
      <xdr:rowOff>47625</xdr:rowOff>
    </xdr:from>
    <xdr:ext cx="943200" cy="860400"/>
    <xdr:pic>
      <xdr:nvPicPr>
        <xdr:cNvPr id="39" name="Imagem 38">
          <a:extLst>
            <a:ext uri="{FF2B5EF4-FFF2-40B4-BE49-F238E27FC236}">
              <a16:creationId xmlns:a16="http://schemas.microsoft.com/office/drawing/2014/main" id="{CE0B8D12-70A5-48E4-BFFC-7DA4A694B80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13728" y="51006375"/>
          <a:ext cx="943200" cy="860400"/>
        </a:xfrm>
        <a:prstGeom prst="rect">
          <a:avLst/>
        </a:prstGeom>
        <a:ln>
          <a:solidFill>
            <a:schemeClr val="bg1"/>
          </a:solidFill>
        </a:ln>
      </xdr:spPr>
    </xdr:pic>
    <xdr:clientData/>
  </xdr:oneCellAnchor>
  <xdr:oneCellAnchor>
    <xdr:from>
      <xdr:col>1</xdr:col>
      <xdr:colOff>105502</xdr:colOff>
      <xdr:row>19</xdr:row>
      <xdr:rowOff>31750</xdr:rowOff>
    </xdr:from>
    <xdr:ext cx="943200" cy="860400"/>
    <xdr:pic>
      <xdr:nvPicPr>
        <xdr:cNvPr id="40" name="Imagem 39">
          <a:extLst>
            <a:ext uri="{FF2B5EF4-FFF2-40B4-BE49-F238E27FC236}">
              <a16:creationId xmlns:a16="http://schemas.microsoft.com/office/drawing/2014/main" id="{FDD9A439-980E-4170-95DF-6A4D2AB5C3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34127" y="52816125"/>
          <a:ext cx="943200" cy="860400"/>
        </a:xfrm>
        <a:prstGeom prst="rect">
          <a:avLst/>
        </a:prstGeom>
        <a:ln>
          <a:solidFill>
            <a:schemeClr val="bg1"/>
          </a:solidFill>
        </a:ln>
      </xdr:spPr>
    </xdr:pic>
    <xdr:clientData/>
  </xdr:oneCellAnchor>
  <xdr:oneCellAnchor>
    <xdr:from>
      <xdr:col>1</xdr:col>
      <xdr:colOff>79375</xdr:colOff>
      <xdr:row>18</xdr:row>
      <xdr:rowOff>47625</xdr:rowOff>
    </xdr:from>
    <xdr:ext cx="943200" cy="860400"/>
    <xdr:pic>
      <xdr:nvPicPr>
        <xdr:cNvPr id="41" name="Imagem 40">
          <a:extLst>
            <a:ext uri="{FF2B5EF4-FFF2-40B4-BE49-F238E27FC236}">
              <a16:creationId xmlns:a16="http://schemas.microsoft.com/office/drawing/2014/main" id="{822BB8E3-47C1-4F62-B902-9DFB19D461C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08000" y="51919188"/>
          <a:ext cx="943200" cy="860400"/>
        </a:xfrm>
        <a:prstGeom prst="rect">
          <a:avLst/>
        </a:prstGeom>
        <a:ln>
          <a:solidFill>
            <a:schemeClr val="bg1"/>
          </a:solidFill>
        </a:ln>
      </xdr:spPr>
    </xdr:pic>
    <xdr:clientData/>
  </xdr:oneCellAnchor>
  <xdr:oneCellAnchor>
    <xdr:from>
      <xdr:col>1</xdr:col>
      <xdr:colOff>95250</xdr:colOff>
      <xdr:row>35</xdr:row>
      <xdr:rowOff>47625</xdr:rowOff>
    </xdr:from>
    <xdr:ext cx="864703" cy="727758"/>
    <xdr:pic>
      <xdr:nvPicPr>
        <xdr:cNvPr id="42" name="Imagem 41" descr="Desenho preto e branco&#10;&#10;O conteúdo gerado por IA pode estar incorreto.">
          <a:extLst>
            <a:ext uri="{FF2B5EF4-FFF2-40B4-BE49-F238E27FC236}">
              <a16:creationId xmlns:a16="http://schemas.microsoft.com/office/drawing/2014/main" id="{507483B2-AE5D-47EB-B73E-FEDF65A2A0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23875" y="28503563"/>
          <a:ext cx="864703" cy="727758"/>
        </a:xfrm>
        <a:prstGeom prst="rect">
          <a:avLst/>
        </a:prstGeom>
        <a:ln>
          <a:solidFill>
            <a:schemeClr val="bg1"/>
          </a:solidFill>
        </a:ln>
      </xdr:spPr>
    </xdr:pic>
    <xdr:clientData/>
  </xdr:oneCellAnchor>
  <xdr:oneCellAnchor>
    <xdr:from>
      <xdr:col>1</xdr:col>
      <xdr:colOff>47625</xdr:colOff>
      <xdr:row>34</xdr:row>
      <xdr:rowOff>15875</xdr:rowOff>
    </xdr:from>
    <xdr:ext cx="943200" cy="860400"/>
    <xdr:pic>
      <xdr:nvPicPr>
        <xdr:cNvPr id="43" name="Imagem 42" descr="Desenho preto e branco&#10;&#10;O conteúdo gerado por IA pode estar incorreto.">
          <a:extLst>
            <a:ext uri="{FF2B5EF4-FFF2-40B4-BE49-F238E27FC236}">
              <a16:creationId xmlns:a16="http://schemas.microsoft.com/office/drawing/2014/main" id="{FF19B0E3-BF6D-4B84-B06D-3C12D4A4907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476250" y="27559000"/>
          <a:ext cx="943200" cy="860400"/>
        </a:xfrm>
        <a:prstGeom prst="rect">
          <a:avLst/>
        </a:prstGeom>
        <a:ln>
          <a:solidFill>
            <a:schemeClr val="bg1"/>
          </a:solidFill>
        </a:ln>
      </xdr:spPr>
    </xdr:pic>
    <xdr:clientData/>
  </xdr:oneCellAnchor>
  <xdr:oneCellAnchor>
    <xdr:from>
      <xdr:col>1</xdr:col>
      <xdr:colOff>31750</xdr:colOff>
      <xdr:row>33</xdr:row>
      <xdr:rowOff>23813</xdr:rowOff>
    </xdr:from>
    <xdr:ext cx="943200" cy="860400"/>
    <xdr:pic>
      <xdr:nvPicPr>
        <xdr:cNvPr id="44" name="Imagem 43" descr="Desenho preto e branco&#10;&#10;O conteúdo gerado por IA pode estar incorreto.">
          <a:extLst>
            <a:ext uri="{FF2B5EF4-FFF2-40B4-BE49-F238E27FC236}">
              <a16:creationId xmlns:a16="http://schemas.microsoft.com/office/drawing/2014/main" id="{827F8B31-5652-466B-9EEB-CFDE7E70243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460375" y="26654126"/>
          <a:ext cx="943200" cy="860400"/>
        </a:xfrm>
        <a:prstGeom prst="rect">
          <a:avLst/>
        </a:prstGeom>
        <a:ln>
          <a:solidFill>
            <a:schemeClr val="bg1"/>
          </a:solidFill>
        </a:ln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5F2D5-1180-704F-9FD5-80127A1E718D}">
  <dimension ref="A1:U52"/>
  <sheetViews>
    <sheetView showGridLines="0" tabSelected="1" topLeftCell="A13" zoomScale="80" zoomScaleNormal="80" workbookViewId="0">
      <selection activeCell="L3" sqref="L3"/>
    </sheetView>
  </sheetViews>
  <sheetFormatPr defaultColWidth="10.8984375" defaultRowHeight="15.6" x14ac:dyDescent="0.3"/>
  <cols>
    <col min="1" max="1" width="5.59765625" style="3" customWidth="1"/>
    <col min="2" max="2" width="14.09765625" style="3" customWidth="1"/>
    <col min="3" max="3" width="22.3984375" style="3" bestFit="1" customWidth="1"/>
    <col min="4" max="4" width="8.8984375" style="3" bestFit="1" customWidth="1"/>
    <col min="5" max="5" width="4.5" style="3" bestFit="1" customWidth="1"/>
    <col min="6" max="6" width="8.09765625" style="3" bestFit="1" customWidth="1"/>
    <col min="7" max="7" width="12.59765625" style="3" bestFit="1" customWidth="1"/>
    <col min="8" max="8" width="9.59765625" style="3" bestFit="1" customWidth="1"/>
    <col min="9" max="9" width="10.296875" style="3" customWidth="1"/>
    <col min="10" max="10" width="9" style="3" bestFit="1" customWidth="1"/>
    <col min="11" max="11" width="8.09765625" style="3" bestFit="1" customWidth="1"/>
    <col min="12" max="12" width="12.5" style="14" bestFit="1" customWidth="1"/>
    <col min="13" max="13" width="17.296875" style="14" customWidth="1"/>
    <col min="14" max="14" width="18.296875" style="14" customWidth="1"/>
    <col min="15" max="15" width="17.5" style="18" customWidth="1"/>
    <col min="16" max="16" width="19.3984375" style="14" customWidth="1"/>
    <col min="17" max="17" width="18.19921875" style="14" customWidth="1"/>
    <col min="18" max="18" width="19.5" style="14" customWidth="1"/>
    <col min="19" max="19" width="19.8984375" style="14" customWidth="1"/>
    <col min="20" max="20" width="19.19921875" style="14" customWidth="1"/>
    <col min="21" max="21" width="9" style="14" customWidth="1"/>
    <col min="22" max="16384" width="10.8984375" style="10"/>
  </cols>
  <sheetData>
    <row r="1" spans="1:21" x14ac:dyDescent="0.3">
      <c r="L1" s="23"/>
      <c r="M1" s="23"/>
      <c r="N1" s="23"/>
      <c r="O1" s="23"/>
      <c r="P1" s="23"/>
      <c r="Q1" s="23"/>
      <c r="R1" s="23"/>
      <c r="S1" s="23"/>
      <c r="T1" s="23"/>
      <c r="U1" s="23"/>
    </row>
    <row r="2" spans="1:21" x14ac:dyDescent="0.3">
      <c r="L2" s="30">
        <f>SUM(M2:T2)</f>
        <v>1560</v>
      </c>
      <c r="M2" s="26">
        <f>SUM(M7:M51)</f>
        <v>276</v>
      </c>
      <c r="N2" s="26">
        <f>SUM(N7:N51)</f>
        <v>135</v>
      </c>
      <c r="O2" s="26">
        <f t="shared" ref="O2:U2" si="0">SUM(O7:O51)</f>
        <v>159</v>
      </c>
      <c r="P2" s="26">
        <f t="shared" si="0"/>
        <v>219</v>
      </c>
      <c r="Q2" s="26">
        <f t="shared" si="0"/>
        <v>258</v>
      </c>
      <c r="R2" s="26">
        <f t="shared" si="0"/>
        <v>117</v>
      </c>
      <c r="S2" s="26">
        <f t="shared" si="0"/>
        <v>177</v>
      </c>
      <c r="T2" s="26">
        <f t="shared" si="0"/>
        <v>219</v>
      </c>
      <c r="U2" s="26">
        <f t="shared" si="0"/>
        <v>1560</v>
      </c>
    </row>
    <row r="3" spans="1:21" ht="31.2" x14ac:dyDescent="0.3">
      <c r="L3" s="25">
        <f>SUMPRODUCT(L7:L51,$I$7:$I$51)</f>
        <v>14255.400000000007</v>
      </c>
      <c r="M3" s="9" t="s">
        <v>37</v>
      </c>
      <c r="N3" s="9" t="s">
        <v>38</v>
      </c>
      <c r="O3" s="16" t="s">
        <v>39</v>
      </c>
      <c r="P3" s="9" t="s">
        <v>40</v>
      </c>
      <c r="Q3" s="9" t="s">
        <v>41</v>
      </c>
      <c r="R3" s="9" t="s">
        <v>43</v>
      </c>
      <c r="S3" s="9" t="s">
        <v>42</v>
      </c>
      <c r="T3" s="9" t="s">
        <v>44</v>
      </c>
      <c r="U3" s="9">
        <f>SUM(U7:U51)</f>
        <v>1560</v>
      </c>
    </row>
    <row r="4" spans="1:21" s="12" customFormat="1" ht="31.2" x14ac:dyDescent="0.3">
      <c r="A4" s="1"/>
      <c r="B4" s="2" t="s">
        <v>16</v>
      </c>
      <c r="C4" s="2" t="s">
        <v>3</v>
      </c>
      <c r="D4" s="2" t="s">
        <v>22</v>
      </c>
      <c r="E4" s="2" t="s">
        <v>23</v>
      </c>
      <c r="F4" s="2" t="s">
        <v>8</v>
      </c>
      <c r="G4" s="2" t="s">
        <v>4</v>
      </c>
      <c r="H4" s="2" t="s">
        <v>17</v>
      </c>
      <c r="I4" s="2" t="s">
        <v>5</v>
      </c>
      <c r="J4" s="2" t="s">
        <v>6</v>
      </c>
      <c r="K4" s="2" t="s">
        <v>7</v>
      </c>
      <c r="L4" s="11" t="s">
        <v>21</v>
      </c>
      <c r="M4" s="2" t="s">
        <v>28</v>
      </c>
      <c r="N4" s="2" t="s">
        <v>30</v>
      </c>
      <c r="O4" s="17" t="s">
        <v>31</v>
      </c>
      <c r="P4" s="2" t="s">
        <v>29</v>
      </c>
      <c r="Q4" s="2" t="s">
        <v>32</v>
      </c>
      <c r="R4" s="2" t="s">
        <v>33</v>
      </c>
      <c r="S4" s="2" t="s">
        <v>34</v>
      </c>
      <c r="T4" s="2" t="s">
        <v>35</v>
      </c>
      <c r="U4" s="2" t="s">
        <v>36</v>
      </c>
    </row>
    <row r="5" spans="1:21" x14ac:dyDescent="0.3">
      <c r="M5" s="21"/>
      <c r="N5" s="21"/>
      <c r="P5" s="10"/>
    </row>
    <row r="6" spans="1:21" ht="15.75" customHeight="1" x14ac:dyDescent="0.3">
      <c r="B6" s="27" t="s">
        <v>15</v>
      </c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</row>
    <row r="7" spans="1:21" ht="72" customHeight="1" x14ac:dyDescent="0.3">
      <c r="B7" s="4"/>
      <c r="C7" s="4" t="s">
        <v>1</v>
      </c>
      <c r="D7" s="29" t="s">
        <v>24</v>
      </c>
      <c r="E7" s="4">
        <v>100</v>
      </c>
      <c r="F7" s="4" t="s">
        <v>9</v>
      </c>
      <c r="G7" s="4" t="s">
        <v>0</v>
      </c>
      <c r="H7" s="8" t="s">
        <v>18</v>
      </c>
      <c r="I7" s="5">
        <v>8.99</v>
      </c>
      <c r="J7" s="6">
        <v>24.99</v>
      </c>
      <c r="K7" s="7">
        <f t="shared" ref="K7:K51" si="1">J7/I7</f>
        <v>2.7797552836484982</v>
      </c>
      <c r="L7" s="13">
        <v>100</v>
      </c>
      <c r="M7" s="15">
        <v>15</v>
      </c>
      <c r="N7" s="15">
        <v>15</v>
      </c>
      <c r="O7" s="15">
        <v>15</v>
      </c>
      <c r="P7" s="15">
        <v>13</v>
      </c>
      <c r="Q7" s="15">
        <v>12</v>
      </c>
      <c r="R7" s="15">
        <v>12</v>
      </c>
      <c r="S7" s="15">
        <v>6</v>
      </c>
      <c r="T7" s="15">
        <v>12</v>
      </c>
      <c r="U7" s="15">
        <f t="shared" ref="U7:U51" si="2">SUM(M7:T7)</f>
        <v>100</v>
      </c>
    </row>
    <row r="8" spans="1:21" ht="72" customHeight="1" x14ac:dyDescent="0.3">
      <c r="B8" s="4"/>
      <c r="C8" s="4" t="s">
        <v>1</v>
      </c>
      <c r="D8" s="29" t="s">
        <v>24</v>
      </c>
      <c r="E8" s="4">
        <v>600</v>
      </c>
      <c r="F8" s="4" t="s">
        <v>11</v>
      </c>
      <c r="G8" s="4" t="s">
        <v>0</v>
      </c>
      <c r="H8" s="8" t="s">
        <v>18</v>
      </c>
      <c r="I8" s="5">
        <v>8.99</v>
      </c>
      <c r="J8" s="6">
        <v>24.99</v>
      </c>
      <c r="K8" s="7">
        <f t="shared" si="1"/>
        <v>2.7797552836484982</v>
      </c>
      <c r="L8" s="13">
        <v>15</v>
      </c>
      <c r="M8" s="15">
        <v>3</v>
      </c>
      <c r="N8" s="15"/>
      <c r="O8" s="19"/>
      <c r="P8" s="22">
        <v>3</v>
      </c>
      <c r="Q8" s="22">
        <v>3</v>
      </c>
      <c r="R8" s="22"/>
      <c r="S8" s="22">
        <v>3</v>
      </c>
      <c r="T8" s="22">
        <v>3</v>
      </c>
      <c r="U8" s="15">
        <f t="shared" si="2"/>
        <v>15</v>
      </c>
    </row>
    <row r="9" spans="1:21" ht="72" customHeight="1" x14ac:dyDescent="0.3">
      <c r="B9" s="4"/>
      <c r="C9" s="4" t="s">
        <v>1</v>
      </c>
      <c r="D9" s="29" t="s">
        <v>24</v>
      </c>
      <c r="E9" s="24" t="s">
        <v>25</v>
      </c>
      <c r="F9" s="4" t="s">
        <v>13</v>
      </c>
      <c r="G9" s="4" t="s">
        <v>0</v>
      </c>
      <c r="H9" s="8" t="s">
        <v>18</v>
      </c>
      <c r="I9" s="5">
        <v>8.99</v>
      </c>
      <c r="J9" s="6">
        <v>24.99</v>
      </c>
      <c r="K9" s="7">
        <f t="shared" si="1"/>
        <v>2.7797552836484982</v>
      </c>
      <c r="L9" s="13">
        <v>50</v>
      </c>
      <c r="M9" s="15">
        <v>10</v>
      </c>
      <c r="N9" s="15">
        <v>5</v>
      </c>
      <c r="O9" s="15">
        <v>5</v>
      </c>
      <c r="P9" s="15">
        <v>5</v>
      </c>
      <c r="Q9" s="15">
        <v>10</v>
      </c>
      <c r="R9" s="15">
        <v>5</v>
      </c>
      <c r="S9" s="15">
        <v>5</v>
      </c>
      <c r="T9" s="15">
        <v>5</v>
      </c>
      <c r="U9" s="15">
        <f t="shared" si="2"/>
        <v>50</v>
      </c>
    </row>
    <row r="10" spans="1:21" ht="72" customHeight="1" x14ac:dyDescent="0.3">
      <c r="B10" s="4"/>
      <c r="C10" s="4" t="s">
        <v>1</v>
      </c>
      <c r="D10" s="29" t="s">
        <v>24</v>
      </c>
      <c r="E10" s="4">
        <v>400</v>
      </c>
      <c r="F10" s="4" t="s">
        <v>12</v>
      </c>
      <c r="G10" s="4" t="s">
        <v>0</v>
      </c>
      <c r="H10" s="8" t="s">
        <v>18</v>
      </c>
      <c r="I10" s="5">
        <v>8.99</v>
      </c>
      <c r="J10" s="6">
        <v>24.99</v>
      </c>
      <c r="K10" s="7">
        <f t="shared" si="1"/>
        <v>2.7797552836484982</v>
      </c>
      <c r="L10" s="13">
        <v>15</v>
      </c>
      <c r="M10" s="15">
        <v>3</v>
      </c>
      <c r="N10" s="15"/>
      <c r="O10" s="19"/>
      <c r="P10" s="22">
        <v>3</v>
      </c>
      <c r="Q10" s="22">
        <v>3</v>
      </c>
      <c r="R10" s="22"/>
      <c r="S10" s="22">
        <v>3</v>
      </c>
      <c r="T10" s="22">
        <v>3</v>
      </c>
      <c r="U10" s="15">
        <f t="shared" si="2"/>
        <v>15</v>
      </c>
    </row>
    <row r="11" spans="1:21" ht="72" customHeight="1" x14ac:dyDescent="0.3">
      <c r="B11" s="4"/>
      <c r="C11" s="4" t="s">
        <v>1</v>
      </c>
      <c r="D11" s="29" t="s">
        <v>24</v>
      </c>
      <c r="E11" s="24" t="s">
        <v>26</v>
      </c>
      <c r="F11" s="4" t="s">
        <v>10</v>
      </c>
      <c r="G11" s="4" t="s">
        <v>0</v>
      </c>
      <c r="H11" s="8" t="s">
        <v>18</v>
      </c>
      <c r="I11" s="5">
        <v>8.99</v>
      </c>
      <c r="J11" s="6">
        <v>24.99</v>
      </c>
      <c r="K11" s="7">
        <f t="shared" si="1"/>
        <v>2.7797552836484982</v>
      </c>
      <c r="L11" s="13">
        <v>100</v>
      </c>
      <c r="M11" s="15">
        <v>15</v>
      </c>
      <c r="N11" s="15">
        <v>15</v>
      </c>
      <c r="O11" s="15">
        <v>15</v>
      </c>
      <c r="P11" s="15">
        <v>13</v>
      </c>
      <c r="Q11" s="15">
        <v>12</v>
      </c>
      <c r="R11" s="15">
        <v>12</v>
      </c>
      <c r="S11" s="15">
        <v>6</v>
      </c>
      <c r="T11" s="15">
        <v>12</v>
      </c>
      <c r="U11" s="15">
        <f t="shared" si="2"/>
        <v>100</v>
      </c>
    </row>
    <row r="12" spans="1:21" ht="72" customHeight="1" x14ac:dyDescent="0.3">
      <c r="B12" s="4"/>
      <c r="C12" s="4" t="s">
        <v>1</v>
      </c>
      <c r="D12" s="29" t="s">
        <v>24</v>
      </c>
      <c r="E12" s="4">
        <v>100</v>
      </c>
      <c r="F12" s="4" t="s">
        <v>9</v>
      </c>
      <c r="G12" s="4" t="s">
        <v>0</v>
      </c>
      <c r="H12" s="8" t="s">
        <v>19</v>
      </c>
      <c r="I12" s="5">
        <v>8.99</v>
      </c>
      <c r="J12" s="6">
        <v>24.99</v>
      </c>
      <c r="K12" s="7">
        <f t="shared" si="1"/>
        <v>2.7797552836484982</v>
      </c>
      <c r="L12" s="13">
        <v>100</v>
      </c>
      <c r="M12" s="15">
        <v>15</v>
      </c>
      <c r="N12" s="15">
        <v>15</v>
      </c>
      <c r="O12" s="15">
        <v>15</v>
      </c>
      <c r="P12" s="15">
        <v>13</v>
      </c>
      <c r="Q12" s="15">
        <v>12</v>
      </c>
      <c r="R12" s="15">
        <v>12</v>
      </c>
      <c r="S12" s="15">
        <v>6</v>
      </c>
      <c r="T12" s="15">
        <v>12</v>
      </c>
      <c r="U12" s="15">
        <f t="shared" si="2"/>
        <v>100</v>
      </c>
    </row>
    <row r="13" spans="1:21" ht="72" customHeight="1" x14ac:dyDescent="0.3">
      <c r="B13" s="4"/>
      <c r="C13" s="4" t="s">
        <v>1</v>
      </c>
      <c r="D13" s="29" t="s">
        <v>24</v>
      </c>
      <c r="E13" s="4">
        <v>600</v>
      </c>
      <c r="F13" s="4" t="s">
        <v>11</v>
      </c>
      <c r="G13" s="4" t="s">
        <v>0</v>
      </c>
      <c r="H13" s="8" t="s">
        <v>19</v>
      </c>
      <c r="I13" s="5">
        <v>8.99</v>
      </c>
      <c r="J13" s="6">
        <v>24.99</v>
      </c>
      <c r="K13" s="7">
        <f t="shared" si="1"/>
        <v>2.7797552836484982</v>
      </c>
      <c r="L13" s="13">
        <v>15</v>
      </c>
      <c r="M13" s="15">
        <v>3</v>
      </c>
      <c r="N13" s="15"/>
      <c r="O13" s="19"/>
      <c r="P13" s="22">
        <v>3</v>
      </c>
      <c r="Q13" s="22">
        <v>3</v>
      </c>
      <c r="R13" s="22"/>
      <c r="S13" s="22">
        <v>3</v>
      </c>
      <c r="T13" s="22">
        <v>3</v>
      </c>
      <c r="U13" s="15">
        <f t="shared" si="2"/>
        <v>15</v>
      </c>
    </row>
    <row r="14" spans="1:21" ht="72" customHeight="1" x14ac:dyDescent="0.3">
      <c r="B14" s="4"/>
      <c r="C14" s="4" t="s">
        <v>1</v>
      </c>
      <c r="D14" s="29" t="s">
        <v>24</v>
      </c>
      <c r="E14" s="24" t="s">
        <v>25</v>
      </c>
      <c r="F14" s="4" t="s">
        <v>13</v>
      </c>
      <c r="G14" s="4" t="s">
        <v>0</v>
      </c>
      <c r="H14" s="8" t="s">
        <v>19</v>
      </c>
      <c r="I14" s="5">
        <v>8.99</v>
      </c>
      <c r="J14" s="6">
        <v>24.99</v>
      </c>
      <c r="K14" s="7">
        <f t="shared" si="1"/>
        <v>2.7797552836484982</v>
      </c>
      <c r="L14" s="13">
        <v>50</v>
      </c>
      <c r="M14" s="15">
        <v>10</v>
      </c>
      <c r="N14" s="15">
        <v>5</v>
      </c>
      <c r="O14" s="15">
        <v>5</v>
      </c>
      <c r="P14" s="15">
        <v>5</v>
      </c>
      <c r="Q14" s="15">
        <v>10</v>
      </c>
      <c r="R14" s="15">
        <v>5</v>
      </c>
      <c r="S14" s="15">
        <v>5</v>
      </c>
      <c r="T14" s="15">
        <v>5</v>
      </c>
      <c r="U14" s="15">
        <f t="shared" si="2"/>
        <v>50</v>
      </c>
    </row>
    <row r="15" spans="1:21" ht="72" customHeight="1" x14ac:dyDescent="0.3">
      <c r="B15" s="4"/>
      <c r="C15" s="4" t="s">
        <v>1</v>
      </c>
      <c r="D15" s="29" t="s">
        <v>24</v>
      </c>
      <c r="E15" s="4">
        <v>400</v>
      </c>
      <c r="F15" s="4" t="s">
        <v>12</v>
      </c>
      <c r="G15" s="4" t="s">
        <v>0</v>
      </c>
      <c r="H15" s="8" t="s">
        <v>19</v>
      </c>
      <c r="I15" s="5">
        <v>8.99</v>
      </c>
      <c r="J15" s="6">
        <v>24.99</v>
      </c>
      <c r="K15" s="7">
        <f t="shared" si="1"/>
        <v>2.7797552836484982</v>
      </c>
      <c r="L15" s="13">
        <v>15</v>
      </c>
      <c r="M15" s="15">
        <v>3</v>
      </c>
      <c r="N15" s="15"/>
      <c r="O15" s="19"/>
      <c r="P15" s="22">
        <v>3</v>
      </c>
      <c r="Q15" s="22">
        <v>3</v>
      </c>
      <c r="R15" s="22"/>
      <c r="S15" s="22">
        <v>3</v>
      </c>
      <c r="T15" s="22">
        <v>3</v>
      </c>
      <c r="U15" s="15">
        <f t="shared" si="2"/>
        <v>15</v>
      </c>
    </row>
    <row r="16" spans="1:21" ht="72" customHeight="1" x14ac:dyDescent="0.3">
      <c r="B16" s="4"/>
      <c r="C16" s="4" t="s">
        <v>1</v>
      </c>
      <c r="D16" s="29" t="s">
        <v>24</v>
      </c>
      <c r="E16" s="24" t="s">
        <v>26</v>
      </c>
      <c r="F16" s="4" t="s">
        <v>10</v>
      </c>
      <c r="G16" s="4" t="s">
        <v>0</v>
      </c>
      <c r="H16" s="8" t="s">
        <v>19</v>
      </c>
      <c r="I16" s="5">
        <v>8.99</v>
      </c>
      <c r="J16" s="6">
        <v>24.99</v>
      </c>
      <c r="K16" s="7">
        <f t="shared" si="1"/>
        <v>2.7797552836484982</v>
      </c>
      <c r="L16" s="13">
        <v>100</v>
      </c>
      <c r="M16" s="15">
        <v>15</v>
      </c>
      <c r="N16" s="15">
        <v>15</v>
      </c>
      <c r="O16" s="15">
        <v>15</v>
      </c>
      <c r="P16" s="15">
        <v>13</v>
      </c>
      <c r="Q16" s="15">
        <v>12</v>
      </c>
      <c r="R16" s="15">
        <v>12</v>
      </c>
      <c r="S16" s="15">
        <v>6</v>
      </c>
      <c r="T16" s="15">
        <v>12</v>
      </c>
      <c r="U16" s="15">
        <f t="shared" si="2"/>
        <v>100</v>
      </c>
    </row>
    <row r="17" spans="2:21" ht="72" customHeight="1" x14ac:dyDescent="0.3">
      <c r="B17" s="4"/>
      <c r="C17" s="4" t="s">
        <v>1</v>
      </c>
      <c r="D17" s="29" t="s">
        <v>24</v>
      </c>
      <c r="E17" s="4">
        <v>100</v>
      </c>
      <c r="F17" s="4" t="s">
        <v>9</v>
      </c>
      <c r="G17" s="4" t="s">
        <v>0</v>
      </c>
      <c r="H17" s="8" t="s">
        <v>20</v>
      </c>
      <c r="I17" s="5">
        <v>8.99</v>
      </c>
      <c r="J17" s="6">
        <v>24.99</v>
      </c>
      <c r="K17" s="7">
        <f t="shared" si="1"/>
        <v>2.7797552836484982</v>
      </c>
      <c r="L17" s="13">
        <v>100</v>
      </c>
      <c r="M17" s="15">
        <v>15</v>
      </c>
      <c r="N17" s="15">
        <v>15</v>
      </c>
      <c r="O17" s="15">
        <v>15</v>
      </c>
      <c r="P17" s="15">
        <v>13</v>
      </c>
      <c r="Q17" s="15">
        <v>12</v>
      </c>
      <c r="R17" s="15">
        <v>12</v>
      </c>
      <c r="S17" s="15">
        <v>6</v>
      </c>
      <c r="T17" s="15">
        <v>12</v>
      </c>
      <c r="U17" s="15">
        <f t="shared" si="2"/>
        <v>100</v>
      </c>
    </row>
    <row r="18" spans="2:21" ht="72" customHeight="1" x14ac:dyDescent="0.3">
      <c r="B18" s="4"/>
      <c r="C18" s="4" t="s">
        <v>1</v>
      </c>
      <c r="D18" s="29" t="s">
        <v>24</v>
      </c>
      <c r="E18" s="4">
        <v>600</v>
      </c>
      <c r="F18" s="4" t="s">
        <v>11</v>
      </c>
      <c r="G18" s="4" t="s">
        <v>0</v>
      </c>
      <c r="H18" s="8" t="s">
        <v>20</v>
      </c>
      <c r="I18" s="5">
        <v>8.99</v>
      </c>
      <c r="J18" s="6">
        <v>24.99</v>
      </c>
      <c r="K18" s="7">
        <f t="shared" si="1"/>
        <v>2.7797552836484982</v>
      </c>
      <c r="L18" s="13">
        <v>15</v>
      </c>
      <c r="M18" s="15">
        <v>3</v>
      </c>
      <c r="N18" s="15"/>
      <c r="O18" s="19"/>
      <c r="P18" s="22">
        <v>3</v>
      </c>
      <c r="Q18" s="22">
        <v>3</v>
      </c>
      <c r="R18" s="22"/>
      <c r="S18" s="22">
        <v>3</v>
      </c>
      <c r="T18" s="22">
        <v>3</v>
      </c>
      <c r="U18" s="15">
        <f t="shared" si="2"/>
        <v>15</v>
      </c>
    </row>
    <row r="19" spans="2:21" ht="72" customHeight="1" x14ac:dyDescent="0.3">
      <c r="B19" s="4"/>
      <c r="C19" s="4" t="s">
        <v>1</v>
      </c>
      <c r="D19" s="29" t="s">
        <v>24</v>
      </c>
      <c r="E19" s="24" t="s">
        <v>25</v>
      </c>
      <c r="F19" s="4" t="s">
        <v>13</v>
      </c>
      <c r="G19" s="4" t="s">
        <v>0</v>
      </c>
      <c r="H19" s="8" t="s">
        <v>20</v>
      </c>
      <c r="I19" s="5">
        <v>8.99</v>
      </c>
      <c r="J19" s="6">
        <v>24.99</v>
      </c>
      <c r="K19" s="7">
        <f t="shared" si="1"/>
        <v>2.7797552836484982</v>
      </c>
      <c r="L19" s="13">
        <v>50</v>
      </c>
      <c r="M19" s="15">
        <v>10</v>
      </c>
      <c r="N19" s="15">
        <v>5</v>
      </c>
      <c r="O19" s="15">
        <v>5</v>
      </c>
      <c r="P19" s="15">
        <v>5</v>
      </c>
      <c r="Q19" s="15">
        <v>10</v>
      </c>
      <c r="R19" s="15">
        <v>5</v>
      </c>
      <c r="S19" s="15">
        <v>5</v>
      </c>
      <c r="T19" s="15">
        <v>5</v>
      </c>
      <c r="U19" s="15">
        <f t="shared" si="2"/>
        <v>50</v>
      </c>
    </row>
    <row r="20" spans="2:21" ht="72" customHeight="1" x14ac:dyDescent="0.3">
      <c r="B20" s="4"/>
      <c r="C20" s="4" t="s">
        <v>1</v>
      </c>
      <c r="D20" s="29" t="s">
        <v>24</v>
      </c>
      <c r="E20" s="4">
        <v>400</v>
      </c>
      <c r="F20" s="4" t="s">
        <v>12</v>
      </c>
      <c r="G20" s="4" t="s">
        <v>0</v>
      </c>
      <c r="H20" s="8" t="s">
        <v>20</v>
      </c>
      <c r="I20" s="5">
        <v>8.99</v>
      </c>
      <c r="J20" s="6">
        <v>24.99</v>
      </c>
      <c r="K20" s="7">
        <f t="shared" si="1"/>
        <v>2.7797552836484982</v>
      </c>
      <c r="L20" s="13">
        <v>15</v>
      </c>
      <c r="M20" s="15">
        <v>3</v>
      </c>
      <c r="N20" s="15"/>
      <c r="O20" s="19"/>
      <c r="P20" s="22">
        <v>3</v>
      </c>
      <c r="Q20" s="22">
        <v>3</v>
      </c>
      <c r="R20" s="22"/>
      <c r="S20" s="22">
        <v>3</v>
      </c>
      <c r="T20" s="22">
        <v>3</v>
      </c>
      <c r="U20" s="15">
        <f t="shared" si="2"/>
        <v>15</v>
      </c>
    </row>
    <row r="21" spans="2:21" ht="72" customHeight="1" x14ac:dyDescent="0.3">
      <c r="B21" s="4"/>
      <c r="C21" s="4" t="s">
        <v>1</v>
      </c>
      <c r="D21" s="29" t="s">
        <v>24</v>
      </c>
      <c r="E21" s="24" t="s">
        <v>26</v>
      </c>
      <c r="F21" s="4" t="s">
        <v>10</v>
      </c>
      <c r="G21" s="4" t="s">
        <v>0</v>
      </c>
      <c r="H21" s="8" t="s">
        <v>20</v>
      </c>
      <c r="I21" s="5">
        <v>8.99</v>
      </c>
      <c r="J21" s="6">
        <v>24.99</v>
      </c>
      <c r="K21" s="7">
        <f t="shared" si="1"/>
        <v>2.7797552836484982</v>
      </c>
      <c r="L21" s="13">
        <v>100</v>
      </c>
      <c r="M21" s="15">
        <v>15</v>
      </c>
      <c r="N21" s="15">
        <v>15</v>
      </c>
      <c r="O21" s="15">
        <v>15</v>
      </c>
      <c r="P21" s="15">
        <v>13</v>
      </c>
      <c r="Q21" s="15">
        <v>12</v>
      </c>
      <c r="R21" s="15">
        <v>12</v>
      </c>
      <c r="S21" s="15">
        <v>6</v>
      </c>
      <c r="T21" s="15">
        <v>12</v>
      </c>
      <c r="U21" s="15">
        <f t="shared" si="2"/>
        <v>100</v>
      </c>
    </row>
    <row r="22" spans="2:21" ht="72" customHeight="1" x14ac:dyDescent="0.3">
      <c r="B22" s="4"/>
      <c r="C22" s="4" t="s">
        <v>2</v>
      </c>
      <c r="D22" s="29" t="s">
        <v>27</v>
      </c>
      <c r="E22" s="4">
        <v>100</v>
      </c>
      <c r="F22" s="4" t="s">
        <v>9</v>
      </c>
      <c r="G22" s="4" t="s">
        <v>0</v>
      </c>
      <c r="H22" s="8" t="s">
        <v>18</v>
      </c>
      <c r="I22" s="5">
        <v>9.19</v>
      </c>
      <c r="J22" s="6">
        <v>24.99</v>
      </c>
      <c r="K22" s="7">
        <f t="shared" si="1"/>
        <v>2.7192600652883567</v>
      </c>
      <c r="L22" s="13">
        <v>25</v>
      </c>
      <c r="M22" s="15">
        <v>4</v>
      </c>
      <c r="N22" s="15"/>
      <c r="O22" s="15">
        <v>4</v>
      </c>
      <c r="P22" s="15">
        <v>4</v>
      </c>
      <c r="Q22" s="15">
        <v>4</v>
      </c>
      <c r="R22" s="15"/>
      <c r="S22" s="15">
        <v>4</v>
      </c>
      <c r="T22" s="15">
        <v>5</v>
      </c>
      <c r="U22" s="15">
        <f t="shared" si="2"/>
        <v>25</v>
      </c>
    </row>
    <row r="23" spans="2:21" ht="72" customHeight="1" x14ac:dyDescent="0.3">
      <c r="B23" s="4"/>
      <c r="C23" s="4" t="s">
        <v>2</v>
      </c>
      <c r="D23" s="29" t="s">
        <v>27</v>
      </c>
      <c r="E23" s="4">
        <v>600</v>
      </c>
      <c r="F23" s="4" t="s">
        <v>11</v>
      </c>
      <c r="G23" s="4" t="s">
        <v>0</v>
      </c>
      <c r="H23" s="8" t="s">
        <v>18</v>
      </c>
      <c r="I23" s="5">
        <v>9.19</v>
      </c>
      <c r="J23" s="6">
        <v>24.99</v>
      </c>
      <c r="K23" s="7">
        <f t="shared" si="1"/>
        <v>2.7192600652883567</v>
      </c>
      <c r="L23" s="13">
        <v>15</v>
      </c>
      <c r="M23" s="15">
        <v>3</v>
      </c>
      <c r="N23" s="15"/>
      <c r="O23" s="19"/>
      <c r="P23" s="22">
        <v>3</v>
      </c>
      <c r="Q23" s="22">
        <v>3</v>
      </c>
      <c r="R23" s="22"/>
      <c r="S23" s="22">
        <v>3</v>
      </c>
      <c r="T23" s="22">
        <v>3</v>
      </c>
      <c r="U23" s="15">
        <f t="shared" si="2"/>
        <v>15</v>
      </c>
    </row>
    <row r="24" spans="2:21" ht="72" customHeight="1" x14ac:dyDescent="0.3">
      <c r="B24" s="4"/>
      <c r="C24" s="4" t="s">
        <v>2</v>
      </c>
      <c r="D24" s="29" t="s">
        <v>27</v>
      </c>
      <c r="E24" s="24" t="s">
        <v>25</v>
      </c>
      <c r="F24" s="4" t="s">
        <v>13</v>
      </c>
      <c r="G24" s="4" t="s">
        <v>0</v>
      </c>
      <c r="H24" s="8" t="s">
        <v>18</v>
      </c>
      <c r="I24" s="5">
        <v>9.19</v>
      </c>
      <c r="J24" s="6">
        <v>24.99</v>
      </c>
      <c r="K24" s="7">
        <f t="shared" si="1"/>
        <v>2.7192600652883567</v>
      </c>
      <c r="L24" s="13">
        <v>15</v>
      </c>
      <c r="M24" s="15">
        <v>3</v>
      </c>
      <c r="N24" s="15"/>
      <c r="O24" s="19"/>
      <c r="P24" s="22">
        <v>3</v>
      </c>
      <c r="Q24" s="22">
        <v>3</v>
      </c>
      <c r="R24" s="22"/>
      <c r="S24" s="22">
        <v>3</v>
      </c>
      <c r="T24" s="22">
        <v>3</v>
      </c>
      <c r="U24" s="15">
        <f t="shared" si="2"/>
        <v>15</v>
      </c>
    </row>
    <row r="25" spans="2:21" ht="72" customHeight="1" x14ac:dyDescent="0.3">
      <c r="B25" s="4"/>
      <c r="C25" s="4" t="s">
        <v>2</v>
      </c>
      <c r="D25" s="29" t="s">
        <v>27</v>
      </c>
      <c r="E25" s="4">
        <v>400</v>
      </c>
      <c r="F25" s="4" t="s">
        <v>12</v>
      </c>
      <c r="G25" s="4" t="s">
        <v>0</v>
      </c>
      <c r="H25" s="8" t="s">
        <v>18</v>
      </c>
      <c r="I25" s="5">
        <v>9.19</v>
      </c>
      <c r="J25" s="6">
        <v>24.99</v>
      </c>
      <c r="K25" s="7">
        <f t="shared" si="1"/>
        <v>2.7192600652883567</v>
      </c>
      <c r="L25" s="13">
        <v>15</v>
      </c>
      <c r="M25" s="15">
        <v>3</v>
      </c>
      <c r="N25" s="15"/>
      <c r="O25" s="19"/>
      <c r="P25" s="22">
        <v>3</v>
      </c>
      <c r="Q25" s="22">
        <v>3</v>
      </c>
      <c r="R25" s="22"/>
      <c r="S25" s="22">
        <v>3</v>
      </c>
      <c r="T25" s="22">
        <v>3</v>
      </c>
      <c r="U25" s="15">
        <f t="shared" si="2"/>
        <v>15</v>
      </c>
    </row>
    <row r="26" spans="2:21" ht="72" customHeight="1" x14ac:dyDescent="0.3">
      <c r="B26" s="4"/>
      <c r="C26" s="4" t="s">
        <v>2</v>
      </c>
      <c r="D26" s="29" t="s">
        <v>27</v>
      </c>
      <c r="E26" s="24" t="s">
        <v>26</v>
      </c>
      <c r="F26" s="4" t="s">
        <v>10</v>
      </c>
      <c r="G26" s="4" t="s">
        <v>0</v>
      </c>
      <c r="H26" s="8" t="s">
        <v>18</v>
      </c>
      <c r="I26" s="5">
        <v>9.19</v>
      </c>
      <c r="J26" s="6">
        <v>24.99</v>
      </c>
      <c r="K26" s="7">
        <f t="shared" si="1"/>
        <v>2.7192600652883567</v>
      </c>
      <c r="L26" s="13">
        <v>25</v>
      </c>
      <c r="M26" s="15">
        <v>4</v>
      </c>
      <c r="N26" s="15"/>
      <c r="O26" s="15">
        <v>4</v>
      </c>
      <c r="P26" s="15">
        <v>4</v>
      </c>
      <c r="Q26" s="15">
        <v>4</v>
      </c>
      <c r="R26" s="15"/>
      <c r="S26" s="15">
        <v>4</v>
      </c>
      <c r="T26" s="15">
        <v>5</v>
      </c>
      <c r="U26" s="15">
        <f t="shared" si="2"/>
        <v>25</v>
      </c>
    </row>
    <row r="27" spans="2:21" ht="72" customHeight="1" x14ac:dyDescent="0.3">
      <c r="B27" s="4"/>
      <c r="C27" s="4" t="s">
        <v>2</v>
      </c>
      <c r="D27" s="29" t="s">
        <v>27</v>
      </c>
      <c r="E27" s="4">
        <v>100</v>
      </c>
      <c r="F27" s="4" t="s">
        <v>9</v>
      </c>
      <c r="G27" s="4" t="s">
        <v>0</v>
      </c>
      <c r="H27" s="8" t="s">
        <v>19</v>
      </c>
      <c r="I27" s="5">
        <v>9.19</v>
      </c>
      <c r="J27" s="6">
        <v>24.99</v>
      </c>
      <c r="K27" s="7">
        <f t="shared" si="1"/>
        <v>2.7192600652883567</v>
      </c>
      <c r="L27" s="13">
        <v>25</v>
      </c>
      <c r="M27" s="15">
        <v>4</v>
      </c>
      <c r="N27" s="15"/>
      <c r="O27" s="15">
        <v>4</v>
      </c>
      <c r="P27" s="15">
        <v>4</v>
      </c>
      <c r="Q27" s="15">
        <v>4</v>
      </c>
      <c r="R27" s="15"/>
      <c r="S27" s="15">
        <v>4</v>
      </c>
      <c r="T27" s="15">
        <v>5</v>
      </c>
      <c r="U27" s="15">
        <f t="shared" si="2"/>
        <v>25</v>
      </c>
    </row>
    <row r="28" spans="2:21" ht="72" customHeight="1" x14ac:dyDescent="0.3">
      <c r="B28" s="4"/>
      <c r="C28" s="4" t="s">
        <v>2</v>
      </c>
      <c r="D28" s="29" t="s">
        <v>27</v>
      </c>
      <c r="E28" s="4">
        <v>600</v>
      </c>
      <c r="F28" s="4" t="s">
        <v>11</v>
      </c>
      <c r="G28" s="4" t="s">
        <v>0</v>
      </c>
      <c r="H28" s="8" t="s">
        <v>19</v>
      </c>
      <c r="I28" s="5">
        <v>9.19</v>
      </c>
      <c r="J28" s="6">
        <v>24.99</v>
      </c>
      <c r="K28" s="7">
        <f t="shared" si="1"/>
        <v>2.7192600652883567</v>
      </c>
      <c r="L28" s="13">
        <v>15</v>
      </c>
      <c r="M28" s="15">
        <v>3</v>
      </c>
      <c r="N28" s="15"/>
      <c r="O28" s="19"/>
      <c r="P28" s="22">
        <v>3</v>
      </c>
      <c r="Q28" s="22">
        <v>3</v>
      </c>
      <c r="R28" s="22"/>
      <c r="S28" s="22">
        <v>3</v>
      </c>
      <c r="T28" s="22">
        <v>3</v>
      </c>
      <c r="U28" s="15">
        <f t="shared" si="2"/>
        <v>15</v>
      </c>
    </row>
    <row r="29" spans="2:21" ht="72" customHeight="1" x14ac:dyDescent="0.3">
      <c r="B29" s="4"/>
      <c r="C29" s="4" t="s">
        <v>2</v>
      </c>
      <c r="D29" s="29" t="s">
        <v>27</v>
      </c>
      <c r="E29" s="24" t="s">
        <v>25</v>
      </c>
      <c r="F29" s="4" t="s">
        <v>13</v>
      </c>
      <c r="G29" s="4" t="s">
        <v>0</v>
      </c>
      <c r="H29" s="8" t="s">
        <v>19</v>
      </c>
      <c r="I29" s="5">
        <v>9.19</v>
      </c>
      <c r="J29" s="6">
        <v>24.99</v>
      </c>
      <c r="K29" s="7">
        <f t="shared" si="1"/>
        <v>2.7192600652883567</v>
      </c>
      <c r="L29" s="13">
        <v>15</v>
      </c>
      <c r="M29" s="15">
        <v>3</v>
      </c>
      <c r="N29" s="15"/>
      <c r="O29" s="19"/>
      <c r="P29" s="22">
        <v>3</v>
      </c>
      <c r="Q29" s="22">
        <v>3</v>
      </c>
      <c r="R29" s="22"/>
      <c r="S29" s="22">
        <v>3</v>
      </c>
      <c r="T29" s="22">
        <v>3</v>
      </c>
      <c r="U29" s="15">
        <f t="shared" si="2"/>
        <v>15</v>
      </c>
    </row>
    <row r="30" spans="2:21" ht="72" customHeight="1" x14ac:dyDescent="0.3">
      <c r="B30" s="4"/>
      <c r="C30" s="4" t="s">
        <v>2</v>
      </c>
      <c r="D30" s="29" t="s">
        <v>27</v>
      </c>
      <c r="E30" s="4">
        <v>400</v>
      </c>
      <c r="F30" s="4" t="s">
        <v>12</v>
      </c>
      <c r="G30" s="4" t="s">
        <v>0</v>
      </c>
      <c r="H30" s="8" t="s">
        <v>19</v>
      </c>
      <c r="I30" s="5">
        <v>9.19</v>
      </c>
      <c r="J30" s="6">
        <v>24.99</v>
      </c>
      <c r="K30" s="7">
        <f t="shared" si="1"/>
        <v>2.7192600652883567</v>
      </c>
      <c r="L30" s="13">
        <v>15</v>
      </c>
      <c r="M30" s="15">
        <v>3</v>
      </c>
      <c r="N30" s="15"/>
      <c r="O30" s="19"/>
      <c r="P30" s="22">
        <v>3</v>
      </c>
      <c r="Q30" s="22">
        <v>3</v>
      </c>
      <c r="R30" s="22"/>
      <c r="S30" s="22">
        <v>3</v>
      </c>
      <c r="T30" s="22">
        <v>3</v>
      </c>
      <c r="U30" s="15">
        <f t="shared" si="2"/>
        <v>15</v>
      </c>
    </row>
    <row r="31" spans="2:21" ht="72" customHeight="1" x14ac:dyDescent="0.3">
      <c r="B31" s="4"/>
      <c r="C31" s="4" t="s">
        <v>2</v>
      </c>
      <c r="D31" s="29" t="s">
        <v>27</v>
      </c>
      <c r="E31" s="24" t="s">
        <v>26</v>
      </c>
      <c r="F31" s="4" t="s">
        <v>10</v>
      </c>
      <c r="G31" s="4" t="s">
        <v>0</v>
      </c>
      <c r="H31" s="8" t="s">
        <v>19</v>
      </c>
      <c r="I31" s="5">
        <v>9.19</v>
      </c>
      <c r="J31" s="6">
        <v>24.99</v>
      </c>
      <c r="K31" s="7">
        <f t="shared" si="1"/>
        <v>2.7192600652883567</v>
      </c>
      <c r="L31" s="13">
        <v>25</v>
      </c>
      <c r="M31" s="15">
        <v>4</v>
      </c>
      <c r="N31" s="15"/>
      <c r="O31" s="15">
        <v>4</v>
      </c>
      <c r="P31" s="15">
        <v>4</v>
      </c>
      <c r="Q31" s="15">
        <v>4</v>
      </c>
      <c r="R31" s="15"/>
      <c r="S31" s="15">
        <v>4</v>
      </c>
      <c r="T31" s="15">
        <v>5</v>
      </c>
      <c r="U31" s="15">
        <f t="shared" si="2"/>
        <v>25</v>
      </c>
    </row>
    <row r="32" spans="2:21" ht="72" customHeight="1" x14ac:dyDescent="0.3">
      <c r="B32" s="4"/>
      <c r="C32" s="4" t="s">
        <v>2</v>
      </c>
      <c r="D32" s="29" t="s">
        <v>27</v>
      </c>
      <c r="E32" s="4">
        <v>100</v>
      </c>
      <c r="F32" s="4" t="s">
        <v>9</v>
      </c>
      <c r="G32" s="4" t="s">
        <v>0</v>
      </c>
      <c r="H32" s="8" t="s">
        <v>20</v>
      </c>
      <c r="I32" s="5">
        <v>9.19</v>
      </c>
      <c r="J32" s="6">
        <v>24.99</v>
      </c>
      <c r="K32" s="7">
        <f t="shared" si="1"/>
        <v>2.7192600652883567</v>
      </c>
      <c r="L32" s="13">
        <v>25</v>
      </c>
      <c r="M32" s="15">
        <v>4</v>
      </c>
      <c r="N32" s="15"/>
      <c r="O32" s="15">
        <v>4</v>
      </c>
      <c r="P32" s="15">
        <v>4</v>
      </c>
      <c r="Q32" s="15">
        <v>4</v>
      </c>
      <c r="R32" s="15"/>
      <c r="S32" s="15">
        <v>4</v>
      </c>
      <c r="T32" s="15">
        <v>5</v>
      </c>
      <c r="U32" s="15">
        <f t="shared" si="2"/>
        <v>25</v>
      </c>
    </row>
    <row r="33" spans="2:21" ht="72" customHeight="1" x14ac:dyDescent="0.3">
      <c r="B33" s="4"/>
      <c r="C33" s="4" t="s">
        <v>2</v>
      </c>
      <c r="D33" s="29" t="s">
        <v>27</v>
      </c>
      <c r="E33" s="4">
        <v>600</v>
      </c>
      <c r="F33" s="4" t="s">
        <v>11</v>
      </c>
      <c r="G33" s="4" t="s">
        <v>0</v>
      </c>
      <c r="H33" s="8" t="s">
        <v>20</v>
      </c>
      <c r="I33" s="5">
        <v>9.19</v>
      </c>
      <c r="J33" s="6">
        <v>24.99</v>
      </c>
      <c r="K33" s="7">
        <f t="shared" si="1"/>
        <v>2.7192600652883567</v>
      </c>
      <c r="L33" s="13">
        <v>15</v>
      </c>
      <c r="M33" s="15">
        <v>3</v>
      </c>
      <c r="N33" s="15"/>
      <c r="O33" s="19"/>
      <c r="P33" s="22">
        <v>3</v>
      </c>
      <c r="Q33" s="22">
        <v>3</v>
      </c>
      <c r="R33" s="22"/>
      <c r="S33" s="22">
        <v>3</v>
      </c>
      <c r="T33" s="22">
        <v>3</v>
      </c>
      <c r="U33" s="15">
        <f t="shared" si="2"/>
        <v>15</v>
      </c>
    </row>
    <row r="34" spans="2:21" ht="72" customHeight="1" x14ac:dyDescent="0.3">
      <c r="B34" s="4"/>
      <c r="C34" s="4" t="s">
        <v>2</v>
      </c>
      <c r="D34" s="29" t="s">
        <v>27</v>
      </c>
      <c r="E34" s="24" t="s">
        <v>25</v>
      </c>
      <c r="F34" s="4" t="s">
        <v>13</v>
      </c>
      <c r="G34" s="4" t="s">
        <v>0</v>
      </c>
      <c r="H34" s="8" t="s">
        <v>20</v>
      </c>
      <c r="I34" s="5">
        <v>9.19</v>
      </c>
      <c r="J34" s="6">
        <v>24.99</v>
      </c>
      <c r="K34" s="7">
        <f t="shared" si="1"/>
        <v>2.7192600652883567</v>
      </c>
      <c r="L34" s="13">
        <v>15</v>
      </c>
      <c r="M34" s="15">
        <v>3</v>
      </c>
      <c r="N34" s="15"/>
      <c r="O34" s="19"/>
      <c r="P34" s="22">
        <v>3</v>
      </c>
      <c r="Q34" s="22">
        <v>3</v>
      </c>
      <c r="R34" s="22"/>
      <c r="S34" s="22">
        <v>3</v>
      </c>
      <c r="T34" s="22">
        <v>3</v>
      </c>
      <c r="U34" s="15">
        <f t="shared" si="2"/>
        <v>15</v>
      </c>
    </row>
    <row r="35" spans="2:21" ht="72" customHeight="1" x14ac:dyDescent="0.3">
      <c r="B35" s="4"/>
      <c r="C35" s="4" t="s">
        <v>2</v>
      </c>
      <c r="D35" s="29" t="s">
        <v>27</v>
      </c>
      <c r="E35" s="4">
        <v>400</v>
      </c>
      <c r="F35" s="4" t="s">
        <v>12</v>
      </c>
      <c r="G35" s="4" t="s">
        <v>0</v>
      </c>
      <c r="H35" s="8" t="s">
        <v>20</v>
      </c>
      <c r="I35" s="5">
        <v>9.19</v>
      </c>
      <c r="J35" s="6">
        <v>24.99</v>
      </c>
      <c r="K35" s="7">
        <f t="shared" si="1"/>
        <v>2.7192600652883567</v>
      </c>
      <c r="L35" s="13">
        <v>15</v>
      </c>
      <c r="M35" s="15">
        <v>3</v>
      </c>
      <c r="N35" s="15"/>
      <c r="O35" s="19"/>
      <c r="P35" s="22">
        <v>3</v>
      </c>
      <c r="Q35" s="22">
        <v>3</v>
      </c>
      <c r="R35" s="22"/>
      <c r="S35" s="22">
        <v>3</v>
      </c>
      <c r="T35" s="22">
        <v>3</v>
      </c>
      <c r="U35" s="15">
        <f t="shared" si="2"/>
        <v>15</v>
      </c>
    </row>
    <row r="36" spans="2:21" ht="72" customHeight="1" x14ac:dyDescent="0.3">
      <c r="B36" s="4"/>
      <c r="C36" s="4" t="s">
        <v>2</v>
      </c>
      <c r="D36" s="29" t="s">
        <v>27</v>
      </c>
      <c r="E36" s="24" t="s">
        <v>26</v>
      </c>
      <c r="F36" s="4" t="s">
        <v>10</v>
      </c>
      <c r="G36" s="4" t="s">
        <v>0</v>
      </c>
      <c r="H36" s="8" t="s">
        <v>20</v>
      </c>
      <c r="I36" s="5">
        <v>9.19</v>
      </c>
      <c r="J36" s="6">
        <v>24.99</v>
      </c>
      <c r="K36" s="7">
        <f t="shared" si="1"/>
        <v>2.7192600652883567</v>
      </c>
      <c r="L36" s="13">
        <v>25</v>
      </c>
      <c r="M36" s="15">
        <v>4</v>
      </c>
      <c r="N36" s="15"/>
      <c r="O36" s="15">
        <v>4</v>
      </c>
      <c r="P36" s="15">
        <v>4</v>
      </c>
      <c r="Q36" s="15">
        <v>4</v>
      </c>
      <c r="R36" s="15"/>
      <c r="S36" s="15">
        <v>4</v>
      </c>
      <c r="T36" s="15">
        <v>5</v>
      </c>
      <c r="U36" s="15">
        <f t="shared" si="2"/>
        <v>25</v>
      </c>
    </row>
    <row r="37" spans="2:21" ht="72" customHeight="1" x14ac:dyDescent="0.3">
      <c r="B37" s="4"/>
      <c r="C37" s="4" t="s">
        <v>14</v>
      </c>
      <c r="D37" s="4" t="s">
        <v>27</v>
      </c>
      <c r="E37" s="4">
        <v>100</v>
      </c>
      <c r="F37" s="4" t="s">
        <v>9</v>
      </c>
      <c r="G37" s="4" t="s">
        <v>0</v>
      </c>
      <c r="H37" s="8" t="s">
        <v>18</v>
      </c>
      <c r="I37" s="5">
        <v>9.39</v>
      </c>
      <c r="J37" s="6">
        <v>24.99</v>
      </c>
      <c r="K37" s="7">
        <f t="shared" si="1"/>
        <v>2.6613418530351436</v>
      </c>
      <c r="L37" s="13">
        <v>50</v>
      </c>
      <c r="M37" s="15">
        <v>10</v>
      </c>
      <c r="N37" s="15">
        <v>5</v>
      </c>
      <c r="O37" s="15">
        <v>5</v>
      </c>
      <c r="P37" s="15">
        <v>5</v>
      </c>
      <c r="Q37" s="15">
        <v>10</v>
      </c>
      <c r="R37" s="15">
        <v>5</v>
      </c>
      <c r="S37" s="15">
        <v>5</v>
      </c>
      <c r="T37" s="15">
        <v>5</v>
      </c>
      <c r="U37" s="15">
        <f t="shared" si="2"/>
        <v>50</v>
      </c>
    </row>
    <row r="38" spans="2:21" ht="72" customHeight="1" x14ac:dyDescent="0.3">
      <c r="B38" s="4"/>
      <c r="C38" s="4" t="s">
        <v>14</v>
      </c>
      <c r="D38" s="4" t="s">
        <v>27</v>
      </c>
      <c r="E38" s="4">
        <v>600</v>
      </c>
      <c r="F38" s="4" t="s">
        <v>11</v>
      </c>
      <c r="G38" s="4" t="s">
        <v>0</v>
      </c>
      <c r="H38" s="8" t="s">
        <v>18</v>
      </c>
      <c r="I38" s="5">
        <v>9.39</v>
      </c>
      <c r="J38" s="6">
        <v>24.99</v>
      </c>
      <c r="K38" s="7">
        <f t="shared" si="1"/>
        <v>2.6613418530351436</v>
      </c>
      <c r="L38" s="13">
        <v>15</v>
      </c>
      <c r="M38" s="15">
        <v>3</v>
      </c>
      <c r="N38" s="15"/>
      <c r="O38" s="19"/>
      <c r="P38" s="22">
        <v>3</v>
      </c>
      <c r="Q38" s="22">
        <v>3</v>
      </c>
      <c r="R38" s="22"/>
      <c r="S38" s="22">
        <v>3</v>
      </c>
      <c r="T38" s="22">
        <v>3</v>
      </c>
      <c r="U38" s="15">
        <f t="shared" si="2"/>
        <v>15</v>
      </c>
    </row>
    <row r="39" spans="2:21" ht="72" customHeight="1" x14ac:dyDescent="0.3">
      <c r="B39" s="4"/>
      <c r="C39" s="4" t="s">
        <v>14</v>
      </c>
      <c r="D39" s="4" t="s">
        <v>27</v>
      </c>
      <c r="E39" s="24" t="s">
        <v>25</v>
      </c>
      <c r="F39" s="4" t="s">
        <v>13</v>
      </c>
      <c r="G39" s="4" t="s">
        <v>0</v>
      </c>
      <c r="H39" s="8" t="s">
        <v>18</v>
      </c>
      <c r="I39" s="5">
        <v>9.39</v>
      </c>
      <c r="J39" s="6">
        <v>24.99</v>
      </c>
      <c r="K39" s="7">
        <f t="shared" si="1"/>
        <v>2.6613418530351436</v>
      </c>
      <c r="L39" s="13">
        <v>15</v>
      </c>
      <c r="M39" s="15">
        <v>3</v>
      </c>
      <c r="N39" s="15"/>
      <c r="O39" s="19"/>
      <c r="P39" s="22">
        <v>3</v>
      </c>
      <c r="Q39" s="22">
        <v>3</v>
      </c>
      <c r="R39" s="22"/>
      <c r="S39" s="22">
        <v>3</v>
      </c>
      <c r="T39" s="22">
        <v>3</v>
      </c>
      <c r="U39" s="15">
        <f t="shared" si="2"/>
        <v>15</v>
      </c>
    </row>
    <row r="40" spans="2:21" ht="72" customHeight="1" x14ac:dyDescent="0.3">
      <c r="B40" s="4"/>
      <c r="C40" s="4" t="s">
        <v>14</v>
      </c>
      <c r="D40" s="4" t="s">
        <v>27</v>
      </c>
      <c r="E40" s="4">
        <v>400</v>
      </c>
      <c r="F40" s="4" t="s">
        <v>12</v>
      </c>
      <c r="G40" s="4" t="s">
        <v>0</v>
      </c>
      <c r="H40" s="8" t="s">
        <v>18</v>
      </c>
      <c r="I40" s="5">
        <v>9.39</v>
      </c>
      <c r="J40" s="6">
        <v>24.99</v>
      </c>
      <c r="K40" s="7">
        <f t="shared" si="1"/>
        <v>2.6613418530351436</v>
      </c>
      <c r="L40" s="13">
        <v>15</v>
      </c>
      <c r="M40" s="15">
        <v>3</v>
      </c>
      <c r="N40" s="15"/>
      <c r="O40" s="19"/>
      <c r="P40" s="22">
        <v>3</v>
      </c>
      <c r="Q40" s="22">
        <v>3</v>
      </c>
      <c r="R40" s="22"/>
      <c r="S40" s="22">
        <v>3</v>
      </c>
      <c r="T40" s="22">
        <v>3</v>
      </c>
      <c r="U40" s="15">
        <f t="shared" si="2"/>
        <v>15</v>
      </c>
    </row>
    <row r="41" spans="2:21" ht="72" customHeight="1" x14ac:dyDescent="0.3">
      <c r="B41" s="4"/>
      <c r="C41" s="4" t="s">
        <v>14</v>
      </c>
      <c r="D41" s="4" t="s">
        <v>27</v>
      </c>
      <c r="E41" s="24" t="s">
        <v>26</v>
      </c>
      <c r="F41" s="4" t="s">
        <v>10</v>
      </c>
      <c r="G41" s="4" t="s">
        <v>0</v>
      </c>
      <c r="H41" s="8" t="s">
        <v>18</v>
      </c>
      <c r="I41" s="5">
        <v>9.39</v>
      </c>
      <c r="J41" s="6">
        <v>24.99</v>
      </c>
      <c r="K41" s="7">
        <f t="shared" si="1"/>
        <v>2.6613418530351436</v>
      </c>
      <c r="L41" s="13">
        <v>50</v>
      </c>
      <c r="M41" s="15">
        <v>10</v>
      </c>
      <c r="N41" s="15">
        <v>5</v>
      </c>
      <c r="O41" s="15">
        <v>5</v>
      </c>
      <c r="P41" s="15">
        <v>5</v>
      </c>
      <c r="Q41" s="15">
        <v>10</v>
      </c>
      <c r="R41" s="15">
        <v>5</v>
      </c>
      <c r="S41" s="15">
        <v>5</v>
      </c>
      <c r="T41" s="15">
        <v>5</v>
      </c>
      <c r="U41" s="15">
        <f t="shared" si="2"/>
        <v>50</v>
      </c>
    </row>
    <row r="42" spans="2:21" ht="72" customHeight="1" x14ac:dyDescent="0.3">
      <c r="B42" s="4"/>
      <c r="C42" s="4" t="s">
        <v>14</v>
      </c>
      <c r="D42" s="4" t="s">
        <v>27</v>
      </c>
      <c r="E42" s="4">
        <v>100</v>
      </c>
      <c r="F42" s="4" t="s">
        <v>9</v>
      </c>
      <c r="G42" s="4" t="s">
        <v>0</v>
      </c>
      <c r="H42" s="8" t="s">
        <v>19</v>
      </c>
      <c r="I42" s="5">
        <v>9.39</v>
      </c>
      <c r="J42" s="6">
        <v>24.99</v>
      </c>
      <c r="K42" s="7">
        <f t="shared" si="1"/>
        <v>2.6613418530351436</v>
      </c>
      <c r="L42" s="13">
        <v>50</v>
      </c>
      <c r="M42" s="15">
        <v>10</v>
      </c>
      <c r="N42" s="15">
        <v>5</v>
      </c>
      <c r="O42" s="15">
        <v>5</v>
      </c>
      <c r="P42" s="15">
        <v>5</v>
      </c>
      <c r="Q42" s="15">
        <v>10</v>
      </c>
      <c r="R42" s="15">
        <v>5</v>
      </c>
      <c r="S42" s="15">
        <v>5</v>
      </c>
      <c r="T42" s="15">
        <v>5</v>
      </c>
      <c r="U42" s="15">
        <f t="shared" si="2"/>
        <v>50</v>
      </c>
    </row>
    <row r="43" spans="2:21" ht="72" customHeight="1" x14ac:dyDescent="0.3">
      <c r="B43" s="4"/>
      <c r="C43" s="4" t="s">
        <v>14</v>
      </c>
      <c r="D43" s="4" t="s">
        <v>27</v>
      </c>
      <c r="E43" s="4">
        <v>600</v>
      </c>
      <c r="F43" s="4" t="s">
        <v>11</v>
      </c>
      <c r="G43" s="4" t="s">
        <v>0</v>
      </c>
      <c r="H43" s="8" t="s">
        <v>19</v>
      </c>
      <c r="I43" s="5">
        <v>9.39</v>
      </c>
      <c r="J43" s="6">
        <v>24.99</v>
      </c>
      <c r="K43" s="7">
        <f t="shared" si="1"/>
        <v>2.6613418530351436</v>
      </c>
      <c r="L43" s="13">
        <v>15</v>
      </c>
      <c r="M43" s="15">
        <v>3</v>
      </c>
      <c r="N43" s="15"/>
      <c r="O43" s="19"/>
      <c r="P43" s="22">
        <v>3</v>
      </c>
      <c r="Q43" s="22">
        <v>3</v>
      </c>
      <c r="R43" s="22"/>
      <c r="S43" s="22">
        <v>3</v>
      </c>
      <c r="T43" s="22">
        <v>3</v>
      </c>
      <c r="U43" s="15">
        <f t="shared" si="2"/>
        <v>15</v>
      </c>
    </row>
    <row r="44" spans="2:21" ht="72" customHeight="1" x14ac:dyDescent="0.3">
      <c r="B44" s="4"/>
      <c r="C44" s="4" t="s">
        <v>14</v>
      </c>
      <c r="D44" s="4" t="s">
        <v>27</v>
      </c>
      <c r="E44" s="24" t="s">
        <v>25</v>
      </c>
      <c r="F44" s="4" t="s">
        <v>13</v>
      </c>
      <c r="G44" s="4" t="s">
        <v>0</v>
      </c>
      <c r="H44" s="8" t="s">
        <v>19</v>
      </c>
      <c r="I44" s="5">
        <v>9.39</v>
      </c>
      <c r="J44" s="6">
        <v>24.99</v>
      </c>
      <c r="K44" s="7">
        <f t="shared" si="1"/>
        <v>2.6613418530351436</v>
      </c>
      <c r="L44" s="13">
        <v>15</v>
      </c>
      <c r="M44" s="15">
        <v>3</v>
      </c>
      <c r="N44" s="15"/>
      <c r="O44" s="19"/>
      <c r="P44" s="22">
        <v>3</v>
      </c>
      <c r="Q44" s="22">
        <v>3</v>
      </c>
      <c r="R44" s="22"/>
      <c r="S44" s="22">
        <v>3</v>
      </c>
      <c r="T44" s="22">
        <v>3</v>
      </c>
      <c r="U44" s="15">
        <f t="shared" si="2"/>
        <v>15</v>
      </c>
    </row>
    <row r="45" spans="2:21" ht="72" customHeight="1" x14ac:dyDescent="0.3">
      <c r="B45" s="4"/>
      <c r="C45" s="4" t="s">
        <v>14</v>
      </c>
      <c r="D45" s="4" t="s">
        <v>27</v>
      </c>
      <c r="E45" s="4">
        <v>400</v>
      </c>
      <c r="F45" s="4" t="s">
        <v>12</v>
      </c>
      <c r="G45" s="4" t="s">
        <v>0</v>
      </c>
      <c r="H45" s="8" t="s">
        <v>19</v>
      </c>
      <c r="I45" s="5">
        <v>9.39</v>
      </c>
      <c r="J45" s="6">
        <v>24.99</v>
      </c>
      <c r="K45" s="7">
        <f t="shared" si="1"/>
        <v>2.6613418530351436</v>
      </c>
      <c r="L45" s="13">
        <v>15</v>
      </c>
      <c r="M45" s="15">
        <v>3</v>
      </c>
      <c r="N45" s="15"/>
      <c r="O45" s="19"/>
      <c r="P45" s="22">
        <v>3</v>
      </c>
      <c r="Q45" s="22">
        <v>3</v>
      </c>
      <c r="R45" s="22"/>
      <c r="S45" s="22">
        <v>3</v>
      </c>
      <c r="T45" s="22">
        <v>3</v>
      </c>
      <c r="U45" s="15">
        <f t="shared" si="2"/>
        <v>15</v>
      </c>
    </row>
    <row r="46" spans="2:21" ht="72" customHeight="1" x14ac:dyDescent="0.3">
      <c r="B46" s="4"/>
      <c r="C46" s="4" t="s">
        <v>14</v>
      </c>
      <c r="D46" s="4" t="s">
        <v>27</v>
      </c>
      <c r="E46" s="24" t="s">
        <v>26</v>
      </c>
      <c r="F46" s="4" t="s">
        <v>10</v>
      </c>
      <c r="G46" s="4" t="s">
        <v>0</v>
      </c>
      <c r="H46" s="8" t="s">
        <v>19</v>
      </c>
      <c r="I46" s="5">
        <v>9.39</v>
      </c>
      <c r="J46" s="6">
        <v>24.99</v>
      </c>
      <c r="K46" s="7">
        <f t="shared" si="1"/>
        <v>2.6613418530351436</v>
      </c>
      <c r="L46" s="13">
        <v>50</v>
      </c>
      <c r="M46" s="15">
        <v>10</v>
      </c>
      <c r="N46" s="15">
        <v>5</v>
      </c>
      <c r="O46" s="15">
        <v>5</v>
      </c>
      <c r="P46" s="15">
        <v>5</v>
      </c>
      <c r="Q46" s="15">
        <v>10</v>
      </c>
      <c r="R46" s="15">
        <v>5</v>
      </c>
      <c r="S46" s="15">
        <v>5</v>
      </c>
      <c r="T46" s="15">
        <v>5</v>
      </c>
      <c r="U46" s="15">
        <f t="shared" si="2"/>
        <v>50</v>
      </c>
    </row>
    <row r="47" spans="2:21" ht="72" customHeight="1" x14ac:dyDescent="0.3">
      <c r="B47" s="4"/>
      <c r="C47" s="4" t="s">
        <v>14</v>
      </c>
      <c r="D47" s="4" t="s">
        <v>27</v>
      </c>
      <c r="E47" s="4">
        <v>100</v>
      </c>
      <c r="F47" s="4" t="s">
        <v>9</v>
      </c>
      <c r="G47" s="4" t="s">
        <v>0</v>
      </c>
      <c r="H47" s="8" t="s">
        <v>20</v>
      </c>
      <c r="I47" s="5">
        <v>9.39</v>
      </c>
      <c r="J47" s="6">
        <v>24.99</v>
      </c>
      <c r="K47" s="7">
        <f t="shared" si="1"/>
        <v>2.6613418530351436</v>
      </c>
      <c r="L47" s="13">
        <v>50</v>
      </c>
      <c r="M47" s="15">
        <v>10</v>
      </c>
      <c r="N47" s="15">
        <v>5</v>
      </c>
      <c r="O47" s="15">
        <v>5</v>
      </c>
      <c r="P47" s="15">
        <v>5</v>
      </c>
      <c r="Q47" s="15">
        <v>10</v>
      </c>
      <c r="R47" s="15">
        <v>5</v>
      </c>
      <c r="S47" s="15">
        <v>5</v>
      </c>
      <c r="T47" s="15">
        <v>5</v>
      </c>
      <c r="U47" s="15">
        <f t="shared" si="2"/>
        <v>50</v>
      </c>
    </row>
    <row r="48" spans="2:21" ht="72" customHeight="1" x14ac:dyDescent="0.3">
      <c r="B48" s="4"/>
      <c r="C48" s="4" t="s">
        <v>14</v>
      </c>
      <c r="D48" s="4" t="s">
        <v>27</v>
      </c>
      <c r="E48" s="4">
        <v>600</v>
      </c>
      <c r="F48" s="4" t="s">
        <v>11</v>
      </c>
      <c r="G48" s="4" t="s">
        <v>0</v>
      </c>
      <c r="H48" s="8" t="s">
        <v>20</v>
      </c>
      <c r="I48" s="5">
        <v>9.39</v>
      </c>
      <c r="J48" s="6">
        <v>24.99</v>
      </c>
      <c r="K48" s="7">
        <f t="shared" si="1"/>
        <v>2.6613418530351436</v>
      </c>
      <c r="L48" s="13">
        <v>15</v>
      </c>
      <c r="M48" s="15">
        <v>3</v>
      </c>
      <c r="N48" s="15"/>
      <c r="O48" s="19"/>
      <c r="P48" s="22">
        <v>3</v>
      </c>
      <c r="Q48" s="22">
        <v>3</v>
      </c>
      <c r="R48" s="22"/>
      <c r="S48" s="22">
        <v>3</v>
      </c>
      <c r="T48" s="22">
        <v>3</v>
      </c>
      <c r="U48" s="15">
        <f t="shared" si="2"/>
        <v>15</v>
      </c>
    </row>
    <row r="49" spans="2:21" ht="72" customHeight="1" x14ac:dyDescent="0.3">
      <c r="B49" s="4"/>
      <c r="C49" s="4" t="s">
        <v>14</v>
      </c>
      <c r="D49" s="4" t="s">
        <v>27</v>
      </c>
      <c r="E49" s="24" t="s">
        <v>25</v>
      </c>
      <c r="F49" s="4" t="s">
        <v>13</v>
      </c>
      <c r="G49" s="4" t="s">
        <v>0</v>
      </c>
      <c r="H49" s="8" t="s">
        <v>20</v>
      </c>
      <c r="I49" s="5">
        <v>9.39</v>
      </c>
      <c r="J49" s="6">
        <v>24.99</v>
      </c>
      <c r="K49" s="7">
        <f t="shared" si="1"/>
        <v>2.6613418530351436</v>
      </c>
      <c r="L49" s="13">
        <v>15</v>
      </c>
      <c r="M49" s="15">
        <v>3</v>
      </c>
      <c r="N49" s="15"/>
      <c r="O49" s="19"/>
      <c r="P49" s="22">
        <v>3</v>
      </c>
      <c r="Q49" s="22">
        <v>3</v>
      </c>
      <c r="R49" s="22"/>
      <c r="S49" s="22">
        <v>3</v>
      </c>
      <c r="T49" s="22">
        <v>3</v>
      </c>
      <c r="U49" s="15">
        <f t="shared" si="2"/>
        <v>15</v>
      </c>
    </row>
    <row r="50" spans="2:21" ht="72" customHeight="1" x14ac:dyDescent="0.3">
      <c r="B50" s="4"/>
      <c r="C50" s="4" t="s">
        <v>14</v>
      </c>
      <c r="D50" s="4" t="s">
        <v>27</v>
      </c>
      <c r="E50" s="4">
        <v>400</v>
      </c>
      <c r="F50" s="4" t="s">
        <v>12</v>
      </c>
      <c r="G50" s="4" t="s">
        <v>0</v>
      </c>
      <c r="H50" s="8" t="s">
        <v>20</v>
      </c>
      <c r="I50" s="5">
        <v>9.39</v>
      </c>
      <c r="J50" s="6">
        <v>24.99</v>
      </c>
      <c r="K50" s="7">
        <f t="shared" si="1"/>
        <v>2.6613418530351436</v>
      </c>
      <c r="L50" s="13">
        <v>15</v>
      </c>
      <c r="M50" s="15">
        <v>3</v>
      </c>
      <c r="N50" s="15"/>
      <c r="O50" s="19"/>
      <c r="P50" s="22">
        <v>3</v>
      </c>
      <c r="Q50" s="22">
        <v>3</v>
      </c>
      <c r="R50" s="22"/>
      <c r="S50" s="22">
        <v>3</v>
      </c>
      <c r="T50" s="22">
        <v>3</v>
      </c>
      <c r="U50" s="15">
        <f t="shared" si="2"/>
        <v>15</v>
      </c>
    </row>
    <row r="51" spans="2:21" ht="72" customHeight="1" x14ac:dyDescent="0.3">
      <c r="B51" s="4"/>
      <c r="C51" s="4" t="s">
        <v>14</v>
      </c>
      <c r="D51" s="4" t="s">
        <v>27</v>
      </c>
      <c r="E51" s="24" t="s">
        <v>26</v>
      </c>
      <c r="F51" s="4" t="s">
        <v>10</v>
      </c>
      <c r="G51" s="4" t="s">
        <v>0</v>
      </c>
      <c r="H51" s="8" t="s">
        <v>20</v>
      </c>
      <c r="I51" s="5">
        <v>9.39</v>
      </c>
      <c r="J51" s="6">
        <v>24.99</v>
      </c>
      <c r="K51" s="7">
        <f t="shared" si="1"/>
        <v>2.6613418530351436</v>
      </c>
      <c r="L51" s="13">
        <v>50</v>
      </c>
      <c r="M51" s="15">
        <v>10</v>
      </c>
      <c r="N51" s="15">
        <v>5</v>
      </c>
      <c r="O51" s="15">
        <v>5</v>
      </c>
      <c r="P51" s="15">
        <v>5</v>
      </c>
      <c r="Q51" s="15">
        <v>10</v>
      </c>
      <c r="R51" s="15">
        <v>5</v>
      </c>
      <c r="S51" s="15">
        <v>5</v>
      </c>
      <c r="T51" s="15">
        <v>5</v>
      </c>
      <c r="U51" s="15">
        <f t="shared" si="2"/>
        <v>50</v>
      </c>
    </row>
    <row r="52" spans="2:21" x14ac:dyDescent="0.3">
      <c r="O52" s="20"/>
    </row>
  </sheetData>
  <conditionalFormatting sqref="B7:F51">
    <cfRule type="containsText" dxfId="10" priority="76" operator="containsText" text="Pendente">
      <formula>NOT(ISERROR(SEARCH("Pendente",B7)))</formula>
    </cfRule>
    <cfRule type="containsText" dxfId="9" priority="77" operator="containsText" text="Enviado">
      <formula>NOT(ISERROR(SEARCH("Enviado",B7)))</formula>
    </cfRule>
    <cfRule type="containsText" dxfId="8" priority="78" operator="containsText" text="Não">
      <formula>NOT(ISERROR(SEARCH("Não",B7)))</formula>
    </cfRule>
    <cfRule type="containsText" dxfId="7" priority="79" operator="containsText" text="Sim">
      <formula>NOT(ISERROR(SEARCH("Sim",B7)))</formula>
    </cfRule>
  </conditionalFormatting>
  <conditionalFormatting sqref="G7:L51">
    <cfRule type="containsText" dxfId="6" priority="196" operator="containsText" text="Pendente">
      <formula>NOT(ISERROR(SEARCH("Pendente",G7)))</formula>
    </cfRule>
  </conditionalFormatting>
  <conditionalFormatting sqref="H7:H51">
    <cfRule type="containsText" dxfId="5" priority="191" operator="containsText" text="100% toalha">
      <formula>NOT(ISERROR(SEARCH("100% toalha",H7)))</formula>
    </cfRule>
    <cfRule type="containsText" dxfId="4" priority="192" operator="containsText" text="Viscose">
      <formula>NOT(ISERROR(SEARCH("Viscose",H7)))</formula>
    </cfRule>
    <cfRule type="containsText" dxfId="3" priority="193" operator="containsText" text="Sem toalha">
      <formula>NOT(ISERROR(SEARCH("Sem toalha",H7)))</formula>
    </cfRule>
    <cfRule type="containsText" dxfId="2" priority="194" operator="containsText" text="Meia toalha">
      <formula>NOT(ISERROR(SEARCH("Meia toalha",H7)))</formula>
    </cfRule>
    <cfRule type="cellIs" dxfId="1" priority="195" operator="equal">
      <formula>"Boxer"</formula>
    </cfRule>
  </conditionalFormatting>
  <conditionalFormatting sqref="M7:U51">
    <cfRule type="containsText" dxfId="0" priority="10" operator="containsText" text="Pendente">
      <formula>NOT(ISERROR(SEARCH("Pendente",M7)))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Infantil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Bernardo Fontana</dc:creator>
  <cp:lastModifiedBy>Viviana Saheki</cp:lastModifiedBy>
  <dcterms:created xsi:type="dcterms:W3CDTF">2025-01-14T12:30:36Z</dcterms:created>
  <dcterms:modified xsi:type="dcterms:W3CDTF">2025-12-02T12:49:58Z</dcterms:modified>
</cp:coreProperties>
</file>